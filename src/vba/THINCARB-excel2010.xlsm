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0" windowWidth="14850" windowHeight="9000"/>
  </bookViews>
  <sheets>
    <sheet name="A" sheetId="1" r:id="rId1"/>
  </sheets>
  <definedNames>
    <definedName name="BACKSOLVE_MACRO">A!$D$4:$D$15</definedName>
  </definedNames>
  <calcPr calcId="145621" calcMode="autoNoTable" iterate="1" iterateCount="1" iterateDelta="0"/>
</workbook>
</file>

<file path=xl/calcChain.xml><?xml version="1.0" encoding="utf-8"?>
<calcChain xmlns="http://schemas.openxmlformats.org/spreadsheetml/2006/main">
  <c r="L24" i="1" l="1"/>
  <c r="L23" i="1"/>
  <c r="L22" i="1"/>
  <c r="L21" i="1"/>
  <c r="L20" i="1"/>
  <c r="L19" i="1"/>
  <c r="L18" i="1"/>
  <c r="L17" i="1"/>
  <c r="L16" i="1"/>
  <c r="L15" i="1"/>
  <c r="H16" i="1" l="1"/>
  <c r="I16" i="1"/>
  <c r="N16" i="1"/>
  <c r="P16" i="1"/>
  <c r="Q16" i="1"/>
  <c r="R16" i="1"/>
  <c r="S16" i="1"/>
  <c r="T16" i="1"/>
  <c r="U16" i="1"/>
  <c r="V16" i="1"/>
  <c r="W16" i="1"/>
  <c r="Y16" i="1"/>
  <c r="Z16" i="1" s="1"/>
  <c r="AK16" i="1"/>
  <c r="AN16" i="1" s="1"/>
  <c r="AQ16" i="1" s="1"/>
  <c r="H17" i="1"/>
  <c r="I17" i="1"/>
  <c r="N17" i="1"/>
  <c r="P17" i="1"/>
  <c r="Q17" i="1"/>
  <c r="R17" i="1"/>
  <c r="S17" i="1"/>
  <c r="T17" i="1"/>
  <c r="U17" i="1"/>
  <c r="V17" i="1"/>
  <c r="W17" i="1"/>
  <c r="Y17" i="1"/>
  <c r="AK17" i="1" s="1"/>
  <c r="AN17" i="1" s="1"/>
  <c r="AQ17" i="1" s="1"/>
  <c r="Z17" i="1"/>
  <c r="H18" i="1"/>
  <c r="I18" i="1"/>
  <c r="N18" i="1"/>
  <c r="P18" i="1"/>
  <c r="Q18" i="1"/>
  <c r="R18" i="1"/>
  <c r="S18" i="1"/>
  <c r="T18" i="1"/>
  <c r="U18" i="1"/>
  <c r="V18" i="1"/>
  <c r="W18" i="1"/>
  <c r="Y18" i="1"/>
  <c r="AK18" i="1" s="1"/>
  <c r="AN18" i="1" s="1"/>
  <c r="AQ18" i="1" s="1"/>
  <c r="Z18" i="1"/>
  <c r="H19" i="1"/>
  <c r="I19" i="1"/>
  <c r="N19" i="1"/>
  <c r="P19" i="1"/>
  <c r="Q19" i="1"/>
  <c r="R19" i="1"/>
  <c r="S19" i="1"/>
  <c r="T19" i="1"/>
  <c r="U19" i="1"/>
  <c r="V19" i="1"/>
  <c r="W19" i="1"/>
  <c r="Y19" i="1"/>
  <c r="AK19" i="1" s="1"/>
  <c r="AN19" i="1" s="1"/>
  <c r="AQ19" i="1" s="1"/>
  <c r="H20" i="1"/>
  <c r="I20" i="1"/>
  <c r="N20" i="1"/>
  <c r="P20" i="1"/>
  <c r="Q20" i="1"/>
  <c r="R20" i="1"/>
  <c r="S20" i="1"/>
  <c r="T20" i="1"/>
  <c r="U20" i="1"/>
  <c r="V20" i="1"/>
  <c r="W20" i="1"/>
  <c r="Y20" i="1"/>
  <c r="AK20" i="1" s="1"/>
  <c r="AN20" i="1" s="1"/>
  <c r="AQ20" i="1" s="1"/>
  <c r="H21" i="1"/>
  <c r="I21" i="1"/>
  <c r="N21" i="1"/>
  <c r="P21" i="1"/>
  <c r="Q21" i="1"/>
  <c r="R21" i="1"/>
  <c r="S21" i="1"/>
  <c r="T21" i="1"/>
  <c r="U21" i="1"/>
  <c r="V21" i="1"/>
  <c r="X21" i="1" s="1"/>
  <c r="W21" i="1"/>
  <c r="Y21" i="1"/>
  <c r="AK21" i="1" s="1"/>
  <c r="AN21" i="1" s="1"/>
  <c r="AQ21" i="1" s="1"/>
  <c r="H22" i="1"/>
  <c r="I22" i="1"/>
  <c r="N22" i="1"/>
  <c r="P22" i="1"/>
  <c r="Q22" i="1"/>
  <c r="R22" i="1"/>
  <c r="S22" i="1"/>
  <c r="T22" i="1"/>
  <c r="U22" i="1"/>
  <c r="V22" i="1"/>
  <c r="X22" i="1" s="1"/>
  <c r="W22" i="1"/>
  <c r="Y22" i="1"/>
  <c r="Z22" i="1" s="1"/>
  <c r="H23" i="1"/>
  <c r="I23" i="1"/>
  <c r="N23" i="1"/>
  <c r="P23" i="1"/>
  <c r="Y23" i="1" s="1"/>
  <c r="Q23" i="1"/>
  <c r="R23" i="1"/>
  <c r="S23" i="1"/>
  <c r="T23" i="1"/>
  <c r="U23" i="1"/>
  <c r="V23" i="1"/>
  <c r="X23" i="1" s="1"/>
  <c r="W23" i="1"/>
  <c r="H24" i="1"/>
  <c r="I24" i="1"/>
  <c r="J24" i="1"/>
  <c r="N24" i="1"/>
  <c r="P24" i="1"/>
  <c r="Q24" i="1"/>
  <c r="Z24" i="1" s="1"/>
  <c r="R24" i="1"/>
  <c r="S24" i="1"/>
  <c r="T24" i="1"/>
  <c r="U24" i="1"/>
  <c r="V24" i="1"/>
  <c r="X24" i="1" s="1"/>
  <c r="W24" i="1"/>
  <c r="Y24" i="1"/>
  <c r="AK24" i="1"/>
  <c r="AN24" i="1" s="1"/>
  <c r="AQ24" i="1" s="1"/>
  <c r="Z20" i="1" l="1"/>
  <c r="AA20" i="1" s="1"/>
  <c r="AA16" i="1"/>
  <c r="AA19" i="1"/>
  <c r="AK22" i="1"/>
  <c r="AN22" i="1" s="1"/>
  <c r="AQ22" i="1" s="1"/>
  <c r="Z19" i="1"/>
  <c r="J23" i="1"/>
  <c r="J22" i="1"/>
  <c r="Z21" i="1"/>
  <c r="AA21" i="1" s="1"/>
  <c r="AF21" i="1" s="1"/>
  <c r="AA18" i="1"/>
  <c r="AA17" i="1"/>
  <c r="AA24" i="1"/>
  <c r="Z23" i="1"/>
  <c r="AK23" i="1"/>
  <c r="AN23" i="1" s="1"/>
  <c r="AQ23" i="1" s="1"/>
  <c r="AA22" i="1"/>
  <c r="AF22" i="1" s="1"/>
  <c r="AF24" i="1"/>
  <c r="J18" i="1"/>
  <c r="X18" i="1"/>
  <c r="J17" i="1"/>
  <c r="X17" i="1"/>
  <c r="J16" i="1"/>
  <c r="X16" i="1"/>
  <c r="J19" i="1"/>
  <c r="X19" i="1"/>
  <c r="J21" i="1"/>
  <c r="J20" i="1"/>
  <c r="X20" i="1"/>
  <c r="W15" i="1"/>
  <c r="Q15" i="1"/>
  <c r="AG22" i="1" l="1"/>
  <c r="AH22" i="1"/>
  <c r="AF18" i="1"/>
  <c r="AF20" i="1"/>
  <c r="AF19" i="1"/>
  <c r="AF17" i="1"/>
  <c r="AH21" i="1"/>
  <c r="AJ21" i="1" s="1"/>
  <c r="AM21" i="1" s="1"/>
  <c r="AP21" i="1" s="1"/>
  <c r="AG21" i="1"/>
  <c r="AF16" i="1"/>
  <c r="AG24" i="1"/>
  <c r="AH24" i="1"/>
  <c r="AJ24" i="1" s="1"/>
  <c r="AM24" i="1" s="1"/>
  <c r="AP24" i="1" s="1"/>
  <c r="AJ22" i="1"/>
  <c r="AM22" i="1" s="1"/>
  <c r="AP22" i="1" s="1"/>
  <c r="AA23" i="1"/>
  <c r="H15" i="1"/>
  <c r="AF23" i="1" l="1"/>
  <c r="AB24" i="1"/>
  <c r="AI24" i="1"/>
  <c r="AL24" i="1" s="1"/>
  <c r="AO24" i="1" s="1"/>
  <c r="AI21" i="1"/>
  <c r="AL21" i="1" s="1"/>
  <c r="AO21" i="1" s="1"/>
  <c r="AB21" i="1"/>
  <c r="AG19" i="1"/>
  <c r="AH19" i="1"/>
  <c r="AJ19" i="1" s="1"/>
  <c r="AM19" i="1" s="1"/>
  <c r="AP19" i="1" s="1"/>
  <c r="AG18" i="1"/>
  <c r="AH18" i="1"/>
  <c r="AJ18" i="1" s="1"/>
  <c r="AM18" i="1" s="1"/>
  <c r="AP18" i="1" s="1"/>
  <c r="AG16" i="1"/>
  <c r="AH16" i="1"/>
  <c r="AJ16" i="1" s="1"/>
  <c r="AM16" i="1" s="1"/>
  <c r="AP16" i="1" s="1"/>
  <c r="AG17" i="1"/>
  <c r="AH17" i="1"/>
  <c r="AJ17" i="1" s="1"/>
  <c r="AM17" i="1" s="1"/>
  <c r="AP17" i="1" s="1"/>
  <c r="AG20" i="1"/>
  <c r="AH20" i="1"/>
  <c r="AJ20" i="1" s="1"/>
  <c r="AM20" i="1" s="1"/>
  <c r="AP20" i="1" s="1"/>
  <c r="AI22" i="1"/>
  <c r="AL22" i="1" s="1"/>
  <c r="AO22" i="1" s="1"/>
  <c r="AB22" i="1"/>
  <c r="N15" i="1"/>
  <c r="AR22" i="1" l="1"/>
  <c r="AS22" i="1" s="1"/>
  <c r="AB16" i="1"/>
  <c r="AI16" i="1"/>
  <c r="AL16" i="1" s="1"/>
  <c r="AO16" i="1" s="1"/>
  <c r="AB19" i="1"/>
  <c r="AI19" i="1"/>
  <c r="AL19" i="1" s="1"/>
  <c r="AO19" i="1" s="1"/>
  <c r="AR24" i="1"/>
  <c r="AS24" i="1" s="1"/>
  <c r="AC21" i="1"/>
  <c r="AD21" i="1"/>
  <c r="AE21" i="1"/>
  <c r="O21" i="1"/>
  <c r="AD24" i="1"/>
  <c r="AC24" i="1"/>
  <c r="AE24" i="1"/>
  <c r="O24" i="1"/>
  <c r="AB17" i="1"/>
  <c r="AI17" i="1"/>
  <c r="AL17" i="1" s="1"/>
  <c r="AO17" i="1" s="1"/>
  <c r="AB18" i="1"/>
  <c r="AI18" i="1"/>
  <c r="AL18" i="1" s="1"/>
  <c r="AO18" i="1" s="1"/>
  <c r="AR21" i="1"/>
  <c r="AC22" i="1"/>
  <c r="AD22" i="1"/>
  <c r="AE22" i="1"/>
  <c r="O22" i="1"/>
  <c r="AI20" i="1"/>
  <c r="AL20" i="1" s="1"/>
  <c r="AO20" i="1" s="1"/>
  <c r="AB20" i="1"/>
  <c r="AH23" i="1"/>
  <c r="AJ23" i="1" s="1"/>
  <c r="AM23" i="1" s="1"/>
  <c r="AP23" i="1" s="1"/>
  <c r="AG23" i="1"/>
  <c r="I15" i="1"/>
  <c r="AB23" i="1" l="1"/>
  <c r="AI23" i="1"/>
  <c r="AL23" i="1" s="1"/>
  <c r="AO23" i="1" s="1"/>
  <c r="AD20" i="1"/>
  <c r="O20" i="1"/>
  <c r="AC20" i="1"/>
  <c r="AE20" i="1"/>
  <c r="AU21" i="1"/>
  <c r="AT21" i="1"/>
  <c r="AD19" i="1"/>
  <c r="AC19" i="1"/>
  <c r="O19" i="1"/>
  <c r="AE19" i="1"/>
  <c r="AR20" i="1"/>
  <c r="AS20" i="1" s="1"/>
  <c r="AR18" i="1"/>
  <c r="AS18" i="1" s="1"/>
  <c r="AR17" i="1"/>
  <c r="AS17" i="1" s="1"/>
  <c r="M22" i="1"/>
  <c r="AD18" i="1"/>
  <c r="AC18" i="1"/>
  <c r="O18" i="1"/>
  <c r="AE18" i="1"/>
  <c r="AD17" i="1"/>
  <c r="O17" i="1"/>
  <c r="AC17" i="1"/>
  <c r="AE17" i="1"/>
  <c r="M24" i="1"/>
  <c r="AU24" i="1"/>
  <c r="AT24" i="1"/>
  <c r="AR16" i="1"/>
  <c r="AS16" i="1" s="1"/>
  <c r="AS21" i="1"/>
  <c r="M21" i="1"/>
  <c r="AR19" i="1"/>
  <c r="AS19" i="1" s="1"/>
  <c r="AD16" i="1"/>
  <c r="AC16" i="1"/>
  <c r="O16" i="1"/>
  <c r="AE16" i="1"/>
  <c r="AU22" i="1"/>
  <c r="AT22" i="1"/>
  <c r="P15" i="1"/>
  <c r="Y15" i="1" s="1"/>
  <c r="R15" i="1"/>
  <c r="S15" i="1"/>
  <c r="T15" i="1"/>
  <c r="U15" i="1"/>
  <c r="V15" i="1"/>
  <c r="J15" i="1" s="1"/>
  <c r="AV22" i="1" l="1"/>
  <c r="M16" i="1"/>
  <c r="AV24" i="1"/>
  <c r="AV21" i="1"/>
  <c r="M19" i="1"/>
  <c r="M17" i="1"/>
  <c r="AU19" i="1"/>
  <c r="AT19" i="1"/>
  <c r="M18" i="1"/>
  <c r="AU17" i="1"/>
  <c r="AT17" i="1"/>
  <c r="AV17" i="1" s="1"/>
  <c r="AU20" i="1"/>
  <c r="AT20" i="1"/>
  <c r="AR23" i="1"/>
  <c r="AS23" i="1" s="1"/>
  <c r="AU16" i="1"/>
  <c r="AT16" i="1"/>
  <c r="M20" i="1"/>
  <c r="AC23" i="1"/>
  <c r="AD23" i="1"/>
  <c r="AE23" i="1"/>
  <c r="O23" i="1"/>
  <c r="AU18" i="1"/>
  <c r="AT18" i="1"/>
  <c r="AV18" i="1" s="1"/>
  <c r="AK15" i="1"/>
  <c r="AN15" i="1" s="1"/>
  <c r="AQ15" i="1" s="1"/>
  <c r="Z15" i="1"/>
  <c r="X15" i="1"/>
  <c r="AV20" i="1" l="1"/>
  <c r="AV19" i="1"/>
  <c r="AV16" i="1"/>
  <c r="M23" i="1"/>
  <c r="AU23" i="1"/>
  <c r="AT23" i="1"/>
  <c r="AA15" i="1"/>
  <c r="AF15" i="1" s="1"/>
  <c r="AV23" i="1" l="1"/>
  <c r="AH15" i="1"/>
  <c r="AJ15" i="1" s="1"/>
  <c r="AM15" i="1" s="1"/>
  <c r="AP15" i="1" s="1"/>
  <c r="AG15" i="1"/>
  <c r="AI15" i="1" l="1"/>
  <c r="AL15" i="1" s="1"/>
  <c r="AO15" i="1" s="1"/>
  <c r="AR15" i="1" s="1"/>
  <c r="AT15" i="1" s="1"/>
  <c r="AB15" i="1"/>
  <c r="AD15" i="1" s="1"/>
  <c r="AE15" i="1" l="1"/>
  <c r="AC15" i="1"/>
  <c r="O15" i="1"/>
  <c r="AS15" i="1"/>
  <c r="AU15" i="1"/>
  <c r="M15" i="1" l="1"/>
  <c r="AV15" i="1"/>
</calcChain>
</file>

<file path=xl/sharedStrings.xml><?xml version="1.0" encoding="utf-8"?>
<sst xmlns="http://schemas.openxmlformats.org/spreadsheetml/2006/main" count="116" uniqueCount="85">
  <si>
    <t>pH</t>
  </si>
  <si>
    <t>Alkalinity</t>
  </si>
  <si>
    <t>EpCO2</t>
  </si>
  <si>
    <t>inc CO3</t>
  </si>
  <si>
    <t>Charge</t>
  </si>
  <si>
    <t>Ca(tot)</t>
  </si>
  <si>
    <t>CaCO3 sat</t>
  </si>
  <si>
    <t>(Log)</t>
  </si>
  <si>
    <t>k0</t>
  </si>
  <si>
    <t>pCO2-H2CO3</t>
  </si>
  <si>
    <t>k1</t>
  </si>
  <si>
    <t>H2CO3-HCO3</t>
  </si>
  <si>
    <t>k2</t>
  </si>
  <si>
    <t>HCO3-CO3</t>
  </si>
  <si>
    <t>k3</t>
  </si>
  <si>
    <t>CaHCO3</t>
  </si>
  <si>
    <t>k4</t>
  </si>
  <si>
    <t>CaCO3(0)</t>
  </si>
  <si>
    <t>k5</t>
  </si>
  <si>
    <t>Ca(OH)</t>
  </si>
  <si>
    <t>k6</t>
  </si>
  <si>
    <t>H2O</t>
  </si>
  <si>
    <t>k7</t>
  </si>
  <si>
    <t>CaCO3(SO)</t>
  </si>
  <si>
    <t>OH</t>
  </si>
  <si>
    <t>H2CO3</t>
  </si>
  <si>
    <t>HCO3</t>
  </si>
  <si>
    <t>CO3</t>
  </si>
  <si>
    <t>Ca2+</t>
  </si>
  <si>
    <t>CaCO3</t>
  </si>
  <si>
    <t>CaOH</t>
  </si>
  <si>
    <t>gamma1</t>
  </si>
  <si>
    <t>gamma2</t>
  </si>
  <si>
    <t>Start row =</t>
  </si>
  <si>
    <t>End row =</t>
  </si>
  <si>
    <t>Temperature</t>
  </si>
  <si>
    <t>(uEq/L)</t>
  </si>
  <si>
    <t>(degC)</t>
  </si>
  <si>
    <t>Date</t>
  </si>
  <si>
    <t>(optional)</t>
  </si>
  <si>
    <t>rough</t>
  </si>
  <si>
    <t>less rough</t>
  </si>
  <si>
    <t>accurate</t>
  </si>
  <si>
    <t>balance</t>
  </si>
  <si>
    <t>(M/l)</t>
  </si>
  <si>
    <t>Altitude</t>
  </si>
  <si>
    <t>(m)</t>
  </si>
  <si>
    <t>corr. Altitude</t>
  </si>
  <si>
    <t>Target value =</t>
  </si>
  <si>
    <t>(mg/L)</t>
  </si>
  <si>
    <t>[Ca]</t>
  </si>
  <si>
    <t>(Method 5)</t>
  </si>
  <si>
    <t>(Method 3)</t>
  </si>
  <si>
    <t>(Method 2)</t>
  </si>
  <si>
    <t>(Method 1)</t>
  </si>
  <si>
    <t>&lt;MINIMUM REQUIRED INPUTS&gt;</t>
  </si>
  <si>
    <t>Site</t>
  </si>
  <si>
    <t>(mM)</t>
  </si>
  <si>
    <t>activity</t>
  </si>
  <si>
    <t>coeff</t>
  </si>
  <si>
    <t>Total Dissol Inorg C</t>
  </si>
  <si>
    <t>(%)</t>
  </si>
  <si>
    <t>DIC as HCO3</t>
  </si>
  <si>
    <t>DIC as CO3</t>
  </si>
  <si>
    <t>DIC as H2CO3</t>
  </si>
  <si>
    <t>Total DIC</t>
  </si>
  <si>
    <t>&lt;------------------------------------------------------------- Additional Total Dissolved Inorganic Carbon Calculation -------------------------------------------------------------&gt;</t>
  </si>
  <si>
    <t>strength)</t>
  </si>
  <si>
    <t>root(ionic</t>
  </si>
  <si>
    <t>[C] in (HCO3)-</t>
  </si>
  <si>
    <t>[C] in (CO3)2-</t>
  </si>
  <si>
    <t>[C] in (H2CO3)0</t>
  </si>
  <si>
    <t>[(HCO3)-]</t>
  </si>
  <si>
    <t>[(CO3)2-]</t>
  </si>
  <si>
    <t>[(H2CO3)0]</t>
  </si>
  <si>
    <t>Neal_Table5_Line_1</t>
  </si>
  <si>
    <t>Neal_Table5_Line_2</t>
  </si>
  <si>
    <t>Neal_Table5_Line_3</t>
  </si>
  <si>
    <t>Neal_Table5_Line_4</t>
  </si>
  <si>
    <t>Neal_Table5_Line_5</t>
  </si>
  <si>
    <t>Neal_Table5_Line_6</t>
  </si>
  <si>
    <t>Neal_Table5_Line_7</t>
  </si>
  <si>
    <t>Neal_Table5_Line_8</t>
  </si>
  <si>
    <t>Neal_Table5_Line_9</t>
  </si>
  <si>
    <t>Neal_Table5_Line_10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</si>
</sst>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E+00"/>
    <numFmt numFmtId="166" formatCode="0.0"/>
    <numFmt numFmtId="167" formatCode="0.0E+00"/>
  </numFmts>
  <fonts count="8">
    <font>
      <sz val="12"/>
      <name val="Arial"/>
    </font>
    <font>
      <sz val="12"/>
      <name val="Arial MT"/>
    </font>
    <font>
      <b/>
      <sz val="12"/>
      <name val="Arial MT"/>
    </font>
    <font>
      <sz val="12"/>
      <color rgb="FFFF0000"/>
      <name val="Arial MT"/>
    </font>
    <font>
      <sz val="12"/>
      <color theme="6" tint="-0.499984740745262"/>
      <name val="Arial MT"/>
    </font>
    <font>
      <sz val="12"/>
      <color theme="6" tint="-0.499984740745262"/>
      <name val="Arial"/>
      <family val="2"/>
    </font>
    <font>
      <b/>
      <sz val="12"/>
      <color rgb="FFFF0000"/>
      <name val="Arial MT"/>
    </font>
    <font>
      <sz val="12"/>
      <color theme="0" tint="-0.249977111117893"/>
      <name val="Arial MT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NumberFormat="1" applyFont="1" applyAlignment="1"/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164" fontId="6" fillId="0" borderId="0" xfId="0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" xfId="0" applyNumberFormat="1" applyFont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1" fontId="3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3" fillId="0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2" fontId="2" fillId="0" borderId="0" xfId="0" applyNumberFormat="1" applyFont="1" applyAlignment="1">
      <alignment horizontal="right"/>
    </xf>
    <xf numFmtId="2" fontId="4" fillId="0" borderId="1" xfId="0" applyNumberFormat="1" applyFont="1" applyBorder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/>
    <xf numFmtId="14" fontId="5" fillId="0" borderId="0" xfId="0" applyNumberFormat="1" applyFont="1"/>
    <xf numFmtId="0" fontId="5" fillId="0" borderId="4" xfId="0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7" fillId="0" borderId="0" xfId="0" applyNumberFormat="1" applyFont="1" applyAlignment="1"/>
    <xf numFmtId="0" fontId="7" fillId="0" borderId="4" xfId="0" applyNumberFormat="1" applyFont="1" applyBorder="1" applyAlignment="1"/>
    <xf numFmtId="0" fontId="7" fillId="0" borderId="4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166" fontId="3" fillId="0" borderId="0" xfId="0" applyNumberFormat="1" applyFont="1" applyAlignment="1"/>
    <xf numFmtId="2" fontId="3" fillId="0" borderId="0" xfId="0" applyNumberFormat="1" applyFont="1" applyAlignment="1"/>
    <xf numFmtId="2" fontId="3" fillId="0" borderId="0" xfId="0" applyNumberFormat="1" applyFont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2" fontId="5" fillId="0" borderId="0" xfId="0" applyNumberFormat="1" applyFont="1"/>
    <xf numFmtId="166" fontId="5" fillId="0" borderId="0" xfId="0" applyNumberFormat="1" applyFont="1"/>
    <xf numFmtId="2" fontId="4" fillId="0" borderId="0" xfId="0" applyNumberFormat="1" applyFont="1" applyAlignment="1">
      <alignment horizontal="center"/>
    </xf>
    <xf numFmtId="2" fontId="3" fillId="0" borderId="2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4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11908</xdr:colOff>
      <xdr:row>0</xdr:row>
      <xdr:rowOff>137772</xdr:rowOff>
    </xdr:from>
    <xdr:ext cx="9640092" cy="1626471"/>
    <xdr:sp macro="" textlink="">
      <xdr:nvSpPr>
        <xdr:cNvPr id="2" name="TextBox 1"/>
        <xdr:cNvSpPr txBox="1"/>
      </xdr:nvSpPr>
      <xdr:spPr>
        <a:xfrm>
          <a:off x="5980908" y="137772"/>
          <a:ext cx="9640092" cy="162647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400" b="1"/>
            <a:t>Values in red are Excel</a:t>
          </a:r>
          <a:r>
            <a:rPr lang="en-GB" sz="1400" b="1" baseline="0"/>
            <a:t> functions. Do not alter these! They are automatically calculated from the values of Altitude, pH, Alkalinity, Temperature and [Ca] that you enter in columns C to G. "Copy down" columns H to AV to match your input data.</a:t>
          </a:r>
        </a:p>
        <a:p>
          <a:endParaRPr lang="en-GB" sz="14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aim of this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spreadsheet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to make the Charge Balance in column M as close to the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Target Value as possible 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by changing the value in column K.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adjustment is performed by a VBA macro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To run the macro, click the CommandB button.</a:t>
          </a:r>
          <a:endParaRPr lang="en-GB" sz="1400">
            <a:effectLst/>
          </a:endParaRPr>
        </a:p>
        <a:p>
          <a:endParaRPr lang="en-GB" sz="1400">
            <a:effectLst/>
          </a:endParaRPr>
        </a:p>
        <a:p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Start and End rows simply define which rows of the spreadsheet require calculation.                                                                 v6b</a:t>
          </a:r>
          <a:endParaRPr lang="en-GB" sz="1400">
            <a:effectLst/>
          </a:endParaRPr>
        </a:p>
      </xdr:txBody>
    </xdr:sp>
    <xdr:clientData/>
  </xdr:oneCellAnchor>
  <xdr:oneCellAnchor>
    <xdr:from>
      <xdr:col>0</xdr:col>
      <xdr:colOff>149679</xdr:colOff>
      <xdr:row>0</xdr:row>
      <xdr:rowOff>192201</xdr:rowOff>
    </xdr:from>
    <xdr:ext cx="2258785" cy="1649300"/>
    <xdr:sp macro="" textlink="">
      <xdr:nvSpPr>
        <xdr:cNvPr id="3" name="TextBox 2"/>
        <xdr:cNvSpPr txBox="1"/>
      </xdr:nvSpPr>
      <xdr:spPr>
        <a:xfrm>
          <a:off x="149679" y="192201"/>
          <a:ext cx="2258785" cy="16493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400" b="1"/>
            <a:t>"THINCARB"</a:t>
          </a:r>
        </a:p>
        <a:p>
          <a:pPr algn="ctr"/>
          <a:r>
            <a:rPr lang="en-GB" sz="1200" b="1"/>
            <a:t>by</a:t>
          </a:r>
        </a:p>
        <a:p>
          <a:pPr algn="ctr"/>
          <a:r>
            <a:rPr lang="en-GB" sz="1400" b="1"/>
            <a:t>Colin Neal, Alan House &amp; Kevin Down (Sci Tot Env 211 1998</a:t>
          </a:r>
          <a:r>
            <a:rPr lang="en-GB" sz="1400" b="1" baseline="0"/>
            <a:t> </a:t>
          </a:r>
          <a:r>
            <a:rPr lang="en-GB" sz="1400" b="1"/>
            <a:t>173-185)</a:t>
          </a:r>
          <a:endParaRPr lang="en-GB" sz="1400" b="1" baseline="0"/>
        </a:p>
        <a:p>
          <a:pPr algn="ctr"/>
          <a:r>
            <a:rPr lang="en-GB" sz="1400" b="1" baseline="0"/>
            <a:t>and</a:t>
          </a:r>
        </a:p>
        <a:p>
          <a:pPr algn="ctr"/>
          <a:r>
            <a:rPr lang="en-GB" sz="1400" b="1"/>
            <a:t>Helen Jarvie</a:t>
          </a:r>
          <a:r>
            <a:rPr lang="en-GB" sz="1400" b="1" baseline="0"/>
            <a:t> &amp; </a:t>
          </a:r>
          <a:r>
            <a:rPr lang="en-GB" sz="1400" b="1"/>
            <a:t>Stephen</a:t>
          </a:r>
          <a:r>
            <a:rPr lang="en-GB" sz="1400" b="1" baseline="0"/>
            <a:t> King</a:t>
          </a:r>
          <a:endParaRPr lang="en-GB" sz="14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161925</xdr:rowOff>
        </xdr:from>
        <xdr:to>
          <xdr:col>3</xdr:col>
          <xdr:colOff>1038225</xdr:colOff>
          <xdr:row>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Z467"/>
  <sheetViews>
    <sheetView tabSelected="1" zoomScale="60" zoomScaleNormal="60" workbookViewId="0">
      <selection activeCell="L25" sqref="L25"/>
    </sheetView>
  </sheetViews>
  <sheetFormatPr defaultColWidth="10.6640625" defaultRowHeight="15.75"/>
  <cols>
    <col min="1" max="1" width="19" style="7" bestFit="1" customWidth="1"/>
    <col min="2" max="2" width="11.21875" style="7" customWidth="1"/>
    <col min="3" max="3" width="7.6640625" style="7" bestFit="1" customWidth="1"/>
    <col min="4" max="4" width="19" style="11" customWidth="1"/>
    <col min="5" max="5" width="8.6640625" style="5" bestFit="1" customWidth="1"/>
    <col min="6" max="6" width="12.109375" style="13" bestFit="1" customWidth="1"/>
    <col min="7" max="7" width="6.77734375" style="5" bestFit="1" customWidth="1"/>
    <col min="8" max="8" width="9.88671875" style="2" bestFit="1" customWidth="1"/>
    <col min="9" max="10" width="10.33203125" style="2" bestFit="1" customWidth="1"/>
    <col min="11" max="11" width="10.88671875" style="10" bestFit="1" customWidth="1"/>
    <col min="12" max="12" width="15.109375" style="10" bestFit="1" customWidth="1"/>
    <col min="13" max="13" width="9.21875" style="25" bestFit="1" customWidth="1"/>
    <col min="14" max="14" width="10.44140625" style="3" bestFit="1" customWidth="1"/>
    <col min="15" max="15" width="10.44140625" style="2" bestFit="1" customWidth="1"/>
    <col min="16" max="16" width="13.44140625" style="3" bestFit="1" customWidth="1"/>
    <col min="17" max="17" width="13.6640625" style="3" bestFit="1" customWidth="1"/>
    <col min="18" max="18" width="11.21875" style="3" bestFit="1" customWidth="1"/>
    <col min="19" max="19" width="10.109375" style="3" bestFit="1" customWidth="1"/>
    <col min="20" max="20" width="10.44140625" style="3" bestFit="1" customWidth="1"/>
    <col min="21" max="22" width="10.109375" style="3" bestFit="1" customWidth="1"/>
    <col min="23" max="23" width="11.44140625" style="3" bestFit="1" customWidth="1"/>
    <col min="24" max="29" width="10.44140625" style="3" bestFit="1" customWidth="1"/>
    <col min="30" max="31" width="10.109375" style="3" bestFit="1" customWidth="1"/>
    <col min="32" max="32" width="9.33203125" style="16" bestFit="1" customWidth="1"/>
    <col min="33" max="33" width="8.21875" style="2" bestFit="1" customWidth="1"/>
    <col min="34" max="34" width="8.6640625" style="2" bestFit="1" customWidth="1"/>
    <col min="35" max="35" width="9.5546875" style="42" bestFit="1" customWidth="1"/>
    <col min="36" max="36" width="9.33203125" style="42" bestFit="1" customWidth="1"/>
    <col min="37" max="37" width="10.88671875" style="42" bestFit="1" customWidth="1"/>
    <col min="38" max="38" width="9.5546875" style="42" bestFit="1" customWidth="1"/>
    <col min="39" max="39" width="9.33203125" style="42" bestFit="1" customWidth="1"/>
    <col min="40" max="40" width="10.88671875" style="42" bestFit="1" customWidth="1"/>
    <col min="41" max="41" width="15.6640625" style="42" bestFit="1" customWidth="1"/>
    <col min="42" max="42" width="15.44140625" style="42" bestFit="1" customWidth="1"/>
    <col min="43" max="43" width="17" style="42" bestFit="1" customWidth="1"/>
    <col min="44" max="44" width="17.33203125" style="42" customWidth="1"/>
    <col min="45" max="45" width="12.109375" style="41" bestFit="1" customWidth="1"/>
    <col min="46" max="46" width="10.88671875" style="41" bestFit="1" customWidth="1"/>
    <col min="47" max="47" width="13.21875" style="41" bestFit="1" customWidth="1"/>
    <col min="48" max="48" width="8.77734375" style="37" bestFit="1" customWidth="1"/>
    <col min="49" max="260" width="10.6640625" style="1"/>
  </cols>
  <sheetData>
    <row r="1" spans="1:48" ht="18" customHeight="1">
      <c r="H1" s="15"/>
    </row>
    <row r="2" spans="1:48" ht="18" customHeight="1"/>
    <row r="3" spans="1:48" ht="18" customHeight="1"/>
    <row r="4" spans="1:48" ht="18" customHeight="1">
      <c r="D4" s="29" t="s">
        <v>48</v>
      </c>
      <c r="E4" s="6">
        <v>0</v>
      </c>
    </row>
    <row r="5" spans="1:48" ht="18" customHeight="1">
      <c r="D5" s="29" t="s">
        <v>33</v>
      </c>
      <c r="E5" s="6">
        <v>15</v>
      </c>
    </row>
    <row r="6" spans="1:48" ht="18" customHeight="1">
      <c r="D6" s="29" t="s">
        <v>34</v>
      </c>
      <c r="E6" s="6">
        <v>24</v>
      </c>
    </row>
    <row r="7" spans="1:48" ht="18" customHeight="1"/>
    <row r="8" spans="1:48">
      <c r="K8" s="9"/>
      <c r="L8" s="9"/>
      <c r="M8" s="26"/>
    </row>
    <row r="9" spans="1:48">
      <c r="K9" s="9"/>
      <c r="L9" s="9"/>
      <c r="M9" s="26"/>
    </row>
    <row r="10" spans="1:48">
      <c r="B10" s="35"/>
      <c r="D10" s="50" t="s">
        <v>55</v>
      </c>
      <c r="E10" s="50"/>
      <c r="G10" s="36"/>
      <c r="H10" s="2" t="s">
        <v>54</v>
      </c>
      <c r="I10" s="2" t="s">
        <v>53</v>
      </c>
      <c r="J10" s="2" t="s">
        <v>52</v>
      </c>
      <c r="K10" s="31" t="s">
        <v>51</v>
      </c>
      <c r="L10" s="9"/>
      <c r="M10" s="26"/>
      <c r="AH10" s="23"/>
      <c r="AI10" s="51" t="s">
        <v>66</v>
      </c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3"/>
    </row>
    <row r="11" spans="1:48">
      <c r="A11" s="7" t="s">
        <v>56</v>
      </c>
      <c r="B11" s="7" t="s">
        <v>38</v>
      </c>
      <c r="C11" s="19" t="s">
        <v>45</v>
      </c>
      <c r="D11" s="11" t="s">
        <v>0</v>
      </c>
      <c r="E11" s="5" t="s">
        <v>1</v>
      </c>
      <c r="F11" s="13" t="s">
        <v>35</v>
      </c>
      <c r="G11" s="5" t="s">
        <v>50</v>
      </c>
      <c r="H11" s="21" t="s">
        <v>2</v>
      </c>
      <c r="I11" s="2" t="s">
        <v>2</v>
      </c>
      <c r="J11" s="2" t="s">
        <v>2</v>
      </c>
      <c r="K11" s="9" t="s">
        <v>2</v>
      </c>
      <c r="L11" s="9" t="s">
        <v>2</v>
      </c>
      <c r="M11" s="25" t="s">
        <v>4</v>
      </c>
      <c r="N11" s="3" t="s">
        <v>5</v>
      </c>
      <c r="O11" s="2" t="s">
        <v>6</v>
      </c>
      <c r="P11" s="3" t="s">
        <v>8</v>
      </c>
      <c r="Q11" s="3" t="s">
        <v>10</v>
      </c>
      <c r="R11" s="3" t="s">
        <v>12</v>
      </c>
      <c r="S11" s="3" t="s">
        <v>14</v>
      </c>
      <c r="T11" s="3" t="s">
        <v>16</v>
      </c>
      <c r="U11" s="3" t="s">
        <v>18</v>
      </c>
      <c r="V11" s="3" t="s">
        <v>20</v>
      </c>
      <c r="W11" s="3" t="s">
        <v>22</v>
      </c>
      <c r="X11" s="3" t="s">
        <v>24</v>
      </c>
      <c r="Y11" s="3" t="s">
        <v>25</v>
      </c>
      <c r="Z11" s="3" t="s">
        <v>26</v>
      </c>
      <c r="AA11" s="3" t="s">
        <v>27</v>
      </c>
      <c r="AB11" s="3" t="s">
        <v>28</v>
      </c>
      <c r="AC11" s="3" t="s">
        <v>15</v>
      </c>
      <c r="AD11" s="3" t="s">
        <v>29</v>
      </c>
      <c r="AE11" s="3" t="s">
        <v>30</v>
      </c>
      <c r="AF11" s="16" t="s">
        <v>68</v>
      </c>
      <c r="AG11" s="2" t="s">
        <v>31</v>
      </c>
      <c r="AH11" s="23" t="s">
        <v>32</v>
      </c>
      <c r="AI11" s="43" t="s">
        <v>72</v>
      </c>
      <c r="AJ11" s="43" t="s">
        <v>73</v>
      </c>
      <c r="AK11" s="43" t="s">
        <v>74</v>
      </c>
      <c r="AL11" s="43" t="s">
        <v>72</v>
      </c>
      <c r="AM11" s="43" t="s">
        <v>73</v>
      </c>
      <c r="AN11" s="43" t="s">
        <v>74</v>
      </c>
      <c r="AO11" s="43" t="s">
        <v>69</v>
      </c>
      <c r="AP11" s="43" t="s">
        <v>70</v>
      </c>
      <c r="AQ11" s="43" t="s">
        <v>71</v>
      </c>
      <c r="AR11" s="43" t="s">
        <v>60</v>
      </c>
      <c r="AS11" s="46" t="s">
        <v>62</v>
      </c>
      <c r="AT11" s="46" t="s">
        <v>63</v>
      </c>
      <c r="AU11" s="46" t="s">
        <v>64</v>
      </c>
      <c r="AV11" s="39" t="s">
        <v>65</v>
      </c>
    </row>
    <row r="12" spans="1:48">
      <c r="A12" s="7" t="s">
        <v>39</v>
      </c>
      <c r="B12" s="7" t="s">
        <v>39</v>
      </c>
      <c r="C12" s="19" t="s">
        <v>46</v>
      </c>
      <c r="E12" s="5" t="s">
        <v>36</v>
      </c>
      <c r="F12" s="13" t="s">
        <v>37</v>
      </c>
      <c r="G12" s="5" t="s">
        <v>49</v>
      </c>
      <c r="H12" s="21" t="s">
        <v>40</v>
      </c>
      <c r="I12" s="2" t="s">
        <v>41</v>
      </c>
      <c r="J12" s="2" t="s">
        <v>41</v>
      </c>
      <c r="K12" s="9" t="s">
        <v>42</v>
      </c>
      <c r="L12" s="9" t="s">
        <v>42</v>
      </c>
      <c r="M12" s="25" t="s">
        <v>43</v>
      </c>
      <c r="N12" s="3" t="s">
        <v>44</v>
      </c>
      <c r="O12" s="2" t="s">
        <v>7</v>
      </c>
      <c r="P12" s="3" t="s">
        <v>9</v>
      </c>
      <c r="Q12" s="3" t="s">
        <v>11</v>
      </c>
      <c r="R12" s="3" t="s">
        <v>13</v>
      </c>
      <c r="S12" s="3" t="s">
        <v>15</v>
      </c>
      <c r="T12" s="3" t="s">
        <v>17</v>
      </c>
      <c r="U12" s="3" t="s">
        <v>19</v>
      </c>
      <c r="V12" s="3" t="s">
        <v>21</v>
      </c>
      <c r="W12" s="3" t="s">
        <v>23</v>
      </c>
      <c r="X12" s="3" t="s">
        <v>58</v>
      </c>
      <c r="Y12" s="3" t="s">
        <v>58</v>
      </c>
      <c r="Z12" s="3" t="s">
        <v>58</v>
      </c>
      <c r="AA12" s="3" t="s">
        <v>58</v>
      </c>
      <c r="AB12" s="3" t="s">
        <v>58</v>
      </c>
      <c r="AC12" s="3" t="s">
        <v>58</v>
      </c>
      <c r="AD12" s="3" t="s">
        <v>58</v>
      </c>
      <c r="AE12" s="3" t="s">
        <v>58</v>
      </c>
      <c r="AF12" s="16" t="s">
        <v>67</v>
      </c>
      <c r="AG12" s="2" t="s">
        <v>59</v>
      </c>
      <c r="AH12" s="23" t="s">
        <v>59</v>
      </c>
      <c r="AI12" s="43" t="s">
        <v>57</v>
      </c>
      <c r="AJ12" s="43" t="s">
        <v>57</v>
      </c>
      <c r="AK12" s="43" t="s">
        <v>57</v>
      </c>
      <c r="AL12" s="43" t="s">
        <v>49</v>
      </c>
      <c r="AM12" s="43" t="s">
        <v>49</v>
      </c>
      <c r="AN12" s="43" t="s">
        <v>49</v>
      </c>
      <c r="AO12" s="43" t="s">
        <v>49</v>
      </c>
      <c r="AP12" s="43" t="s">
        <v>49</v>
      </c>
      <c r="AQ12" s="43" t="s">
        <v>49</v>
      </c>
      <c r="AR12" s="43" t="s">
        <v>49</v>
      </c>
      <c r="AS12" s="46" t="s">
        <v>61</v>
      </c>
      <c r="AT12" s="46" t="s">
        <v>61</v>
      </c>
      <c r="AU12" s="46" t="s">
        <v>61</v>
      </c>
      <c r="AV12" s="39" t="s">
        <v>61</v>
      </c>
    </row>
    <row r="13" spans="1:48" ht="16.5" thickBot="1">
      <c r="A13" s="8"/>
      <c r="B13" s="8"/>
      <c r="C13" s="20"/>
      <c r="D13" s="30"/>
      <c r="E13" s="12"/>
      <c r="F13" s="14"/>
      <c r="G13" s="12"/>
      <c r="H13" s="22"/>
      <c r="I13" s="4"/>
      <c r="J13" s="4" t="s">
        <v>3</v>
      </c>
      <c r="K13" s="28"/>
      <c r="L13" s="28" t="s">
        <v>47</v>
      </c>
      <c r="M13" s="27"/>
      <c r="N13" s="17"/>
      <c r="O13" s="4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8"/>
      <c r="AG13" s="4"/>
      <c r="AH13" s="24"/>
      <c r="AI13" s="44"/>
      <c r="AJ13" s="45"/>
      <c r="AK13" s="45"/>
      <c r="AL13" s="45"/>
      <c r="AM13" s="45"/>
      <c r="AN13" s="45"/>
      <c r="AO13" s="45"/>
      <c r="AP13" s="45"/>
      <c r="AQ13" s="45"/>
      <c r="AR13" s="45"/>
      <c r="AS13" s="47"/>
      <c r="AT13" s="47"/>
      <c r="AU13" s="47"/>
      <c r="AV13" s="40"/>
    </row>
    <row r="14" spans="1:48">
      <c r="C14" s="19"/>
      <c r="D14" s="32"/>
      <c r="H14" s="21"/>
      <c r="AH14" s="23"/>
      <c r="AV14" s="38"/>
    </row>
    <row r="15" spans="1:48">
      <c r="A15" s="33" t="s">
        <v>75</v>
      </c>
      <c r="B15" s="34"/>
      <c r="C15" s="7">
        <v>0</v>
      </c>
      <c r="D15" s="48">
        <v>8.2899999999999991</v>
      </c>
      <c r="E15" s="33">
        <v>3930</v>
      </c>
      <c r="F15" s="49">
        <v>12.2</v>
      </c>
      <c r="G15" s="33">
        <v>0</v>
      </c>
      <c r="H15" s="2">
        <f>(E15+(10^(6-D15)))*(10^(6-D15))/5.25</f>
        <v>3.8391387987696364</v>
      </c>
      <c r="I15" s="2">
        <f>((0.95*E15)+(10^(6-D15)))*(10^(6-D15))/(6.46-(0.0636*F15))</f>
        <v>3.3686552747318053</v>
      </c>
      <c r="J15" s="2">
        <f>((0.95*E15)+((10^(6-D15))/0.95)+((10^(D15+6+LOG10(V15)))/0.95))*(10^(6-D15))/((6.46-(0.0636*F15))*(1+(2*(0.95/0.8)*10^(D15+LOG10(R15)))))</f>
        <v>3.3164881606947487</v>
      </c>
      <c r="K15" s="10">
        <v>10.232839928127619</v>
      </c>
      <c r="L15" s="10">
        <f>K15/((288-0.0065*C15)/288)^5.256</f>
        <v>10.232839928127619</v>
      </c>
      <c r="M15" s="25">
        <f>(E15*(10^-6))+((10^-D15)/AG15)-(Z15/AG15)-(2*AA15/AH15)-(AC15/AG15)-(2*AD15/1)-(X15/AG15)-(AE15/AG15)</f>
        <v>-8.0278682906540534E-3</v>
      </c>
      <c r="N15" s="3">
        <f>(G15/40000)</f>
        <v>0</v>
      </c>
      <c r="O15" s="2" t="e">
        <f>LOG10(AA15*AB15)-LOG10(W15)</f>
        <v>#NUM!</v>
      </c>
      <c r="P15" s="3">
        <f>10^-(13.417-(2299.6/(273+F15))-(0.01422*(273+F15)))</f>
        <v>5.0310380796371179E-2</v>
      </c>
      <c r="Q15" s="3">
        <f>10^(-(-14.8345+(3404.71/(273+F15))+(0.03279*(273+F15))))</f>
        <v>3.5060543809128692E-7</v>
      </c>
      <c r="R15" s="3">
        <f>10^(-(-6.498+(2902.39/(273+F15))+(0.02379*(273+F15))))</f>
        <v>3.4388162518471569E-11</v>
      </c>
      <c r="S15" s="3">
        <f>10^-(-2.95+(0.0133*(273+F15)))</f>
        <v>0.14349606769089113</v>
      </c>
      <c r="T15" s="3">
        <f>10^(-(-27.393+(4114/(273+F15))+(0.0561*(273+F15))))</f>
        <v>9.2964055890276676E-4</v>
      </c>
      <c r="U15" s="3">
        <f>10^-1.4</f>
        <v>3.9810717055349727E-2</v>
      </c>
      <c r="V15" s="3">
        <f>10^-(-6.0846+(4471.33/(273+F15)+(0.017053*(273+F15))))</f>
        <v>3.4930855701537692E-15</v>
      </c>
      <c r="W15" s="3">
        <f>10^-(-13.543+(3000/(273+F15)+0.0401*(273+F15)))</f>
        <v>3.8685295505547176E-9</v>
      </c>
      <c r="X15" s="3">
        <f>V15/10^-D15</f>
        <v>6.8109740354570726E-7</v>
      </c>
      <c r="Y15" s="3">
        <f>P15*(10^-3.5)*K15</f>
        <v>1.6279976926029946E-4</v>
      </c>
      <c r="Z15" s="3">
        <f>Q15*Y15/(10^-D15)</f>
        <v>1.1129417461391223E-2</v>
      </c>
      <c r="AA15" s="3">
        <f>R15*Z15/(10^-D15)</f>
        <v>7.4624494716233144E-5</v>
      </c>
      <c r="AB15" s="3">
        <f>N15/((1+(Z15*S15/AG15)+(AA15*T15/AG15)+(U15*X15/AG15)))</f>
        <v>0</v>
      </c>
      <c r="AC15" s="3">
        <f>S15*AB15*Z15</f>
        <v>0</v>
      </c>
      <c r="AD15" s="3">
        <f>T15*AB15*AA15</f>
        <v>0</v>
      </c>
      <c r="AE15" s="3">
        <f>U15*X15*AB15</f>
        <v>0</v>
      </c>
      <c r="AF15" s="16">
        <f>(((20/35450)+X15+Z15+(10^-D15)+(4*(AA15+N15)))/2)^0.5</f>
        <v>7.7436349863906767E-2</v>
      </c>
      <c r="AG15" s="2">
        <f>10^-(0.5*((AF15/(1+AF15))-(0.3*AF15)))</f>
        <v>0.94554018024372155</v>
      </c>
      <c r="AH15" s="2">
        <f>10^-(0.5*4*((AF15/(1+AF15))-(0.3*AF15)))</f>
        <v>0.79931866576756905</v>
      </c>
      <c r="AI15" s="42">
        <f>1000*(Z15/AG15)</f>
        <v>11.770433127995169</v>
      </c>
      <c r="AJ15" s="42">
        <f>1000*(AA15/AH15)</f>
        <v>9.3360130211112738E-2</v>
      </c>
      <c r="AK15" s="42">
        <f>1000*Y15</f>
        <v>0.16279976926029946</v>
      </c>
      <c r="AL15" s="42">
        <f>AI15*61</f>
        <v>717.99642080770525</v>
      </c>
      <c r="AM15" s="42">
        <f>AJ15*60</f>
        <v>5.6016078126667646</v>
      </c>
      <c r="AN15" s="42">
        <f>AK15*62</f>
        <v>10.093585694138566</v>
      </c>
      <c r="AO15" s="42">
        <f>12/61*AL15</f>
        <v>141.24519753594203</v>
      </c>
      <c r="AP15" s="42">
        <f>12/60*AM15</f>
        <v>1.1203215625333529</v>
      </c>
      <c r="AQ15" s="42">
        <f>12/62*AN15</f>
        <v>1.9535972311235934</v>
      </c>
      <c r="AR15" s="42">
        <f>SUM(AO15:AQ15)</f>
        <v>144.31911632959896</v>
      </c>
      <c r="AS15" s="41">
        <f>100*(AO15/AR15)</f>
        <v>97.870054313084452</v>
      </c>
      <c r="AT15" s="41">
        <f>100*(AP15/AR15)</f>
        <v>0.77628078041632376</v>
      </c>
      <c r="AU15" s="41">
        <f>100*(AQ15/AR15)</f>
        <v>1.3536649064992388</v>
      </c>
      <c r="AV15" s="37">
        <f>SUM(AS15:AU15)</f>
        <v>100.00000000000001</v>
      </c>
    </row>
    <row r="16" spans="1:48">
      <c r="A16" s="33" t="s">
        <v>76</v>
      </c>
      <c r="B16" s="34"/>
      <c r="C16" s="7">
        <v>0</v>
      </c>
      <c r="D16" s="48">
        <v>8.3800000000000008</v>
      </c>
      <c r="E16" s="33">
        <v>3880</v>
      </c>
      <c r="F16" s="49">
        <v>10.6</v>
      </c>
      <c r="G16" s="33">
        <v>0</v>
      </c>
      <c r="H16" s="2">
        <f t="shared" ref="H16:H24" si="0">(E16+(10^(6-D16)))*(10^(6-D16))/5.25</f>
        <v>3.0808665631728136</v>
      </c>
      <c r="I16" s="2">
        <f t="shared" ref="I16:I24" si="1">((0.95*E16)+(10^(6-D16)))*(10^(6-D16))/(6.46-(0.0636*F16))</f>
        <v>2.6557635283251559</v>
      </c>
      <c r="J16" s="2">
        <f t="shared" ref="J16:J24" si="2">((0.95*E16)+((10^(6-D16))/0.95)+((10^(D16+6+LOG10(V16)))/0.95))*(10^(6-D16))/((6.46-(0.0636*F16))*(1+(2*(0.95/0.8)*10^(D16+LOG10(R16)))))</f>
        <v>2.6074572759710315</v>
      </c>
      <c r="K16" s="10">
        <v>10.232839928127619</v>
      </c>
      <c r="L16" s="10">
        <f>K16/((288-0.0065*C16)/288)^5.256</f>
        <v>10.232839928127619</v>
      </c>
      <c r="M16" s="25">
        <f t="shared" ref="M16:M24" si="3">(E16*(10^-6))+((10^-D16)/AG16)-(Z16/AG16)-(2*AA16/AH16)-(AC16/AG16)-(2*AD16/1)-(X16/AG16)-(AE16/AG16)</f>
        <v>-1.1232404240467717E-2</v>
      </c>
      <c r="N16" s="3">
        <f t="shared" ref="N16:N24" si="4">(G16/40000)</f>
        <v>0</v>
      </c>
      <c r="O16" s="2" t="e">
        <f t="shared" ref="O16:O24" si="5">LOG10(AA16*AB16)-LOG10(W16)</f>
        <v>#NUM!</v>
      </c>
      <c r="P16" s="3">
        <f t="shared" ref="P16:P24" si="6">10^-(13.417-(2299.6/(273+F16))-(0.01422*(273+F16)))</f>
        <v>5.3014621749661546E-2</v>
      </c>
      <c r="Q16" s="3">
        <f t="shared" ref="Q16:Q24" si="7">10^(-(-14.8345+(3404.71/(273+F16))+(0.03279*(273+F16))))</f>
        <v>3.3879079302423975E-7</v>
      </c>
      <c r="R16" s="3">
        <f t="shared" ref="R16:R24" si="8">10^(-(-6.498+(2902.39/(273+F16))+(0.02379*(273+F16))))</f>
        <v>3.2889606676582457E-11</v>
      </c>
      <c r="S16" s="3">
        <f t="shared" ref="S16:S24" si="9">10^-(-2.95+(0.0133*(273+F16)))</f>
        <v>0.15070234146213479</v>
      </c>
      <c r="T16" s="3">
        <f t="shared" ref="T16:T24" si="10">10^(-(-27.393+(4114/(273+F16))+(0.0561*(273+F16))))</f>
        <v>9.4774834003559711E-4</v>
      </c>
      <c r="U16" s="3">
        <f t="shared" ref="U16:U24" si="11">10^-1.4</f>
        <v>3.9810717055349727E-2</v>
      </c>
      <c r="V16" s="3">
        <f t="shared" ref="V16:V24" si="12">10^-(-6.0846+(4471.33/(273+F16)+(0.017053*(273+F16))))</f>
        <v>3.0341943058818957E-15</v>
      </c>
      <c r="W16" s="3">
        <f t="shared" ref="W16:W24" si="13">10^-(-13.543+(3000/(273+F16)+0.0401*(273+F16)))</f>
        <v>3.9116567069109702E-9</v>
      </c>
      <c r="X16" s="3">
        <f t="shared" ref="X16:X24" si="14">V16/10^-D16</f>
        <v>7.278525183651023E-7</v>
      </c>
      <c r="Y16" s="3">
        <f t="shared" ref="Y16:Y24" si="15">P16*(10^-3.5)*K16</f>
        <v>1.7155044449374313E-4</v>
      </c>
      <c r="Z16" s="3">
        <f t="shared" ref="Z16:Z24" si="16">Q16*Y16/(10^-D16)</f>
        <v>1.3941947631141444E-2</v>
      </c>
      <c r="AA16" s="3">
        <f t="shared" ref="AA16:AA24" si="17">R16*Z16/(10^-D16)</f>
        <v>1.0999732579938562E-4</v>
      </c>
      <c r="AB16" s="3">
        <f t="shared" ref="AB16:AB24" si="18">N16/((1+(Z16*S16/AG16)+(AA16*T16/AG16)+(U16*X16/AG16)))</f>
        <v>0</v>
      </c>
      <c r="AC16" s="3">
        <f t="shared" ref="AC16:AC24" si="19">S16*AB16*Z16</f>
        <v>0</v>
      </c>
      <c r="AD16" s="3">
        <f t="shared" ref="AD16:AD24" si="20">T16*AB16*AA16</f>
        <v>0</v>
      </c>
      <c r="AE16" s="3">
        <f t="shared" ref="AE16:AE24" si="21">U16*X16*AB16</f>
        <v>0</v>
      </c>
      <c r="AF16" s="16">
        <f t="shared" ref="AF16:AF24" si="22">(((20/35450)+X16+Z16+(10^-D16)+(4*(AA16+N16)))/2)^0.5</f>
        <v>8.6448955603200872E-2</v>
      </c>
      <c r="AG16" s="2">
        <f t="shared" ref="AG16:AG24" si="23">10^-(0.5*((AF16/(1+AF16))-(0.3*AF16)))</f>
        <v>0.9401177352226463</v>
      </c>
      <c r="AH16" s="2">
        <f t="shared" ref="AH16:AH24" si="24">10^-(0.5*4*((AF16/(1+AF16))-(0.3*AF16)))</f>
        <v>0.78114018946336883</v>
      </c>
      <c r="AI16" s="42">
        <f t="shared" ref="AI16:AI24" si="25">1000*(Z16/AG16)</f>
        <v>14.830001720837231</v>
      </c>
      <c r="AJ16" s="42">
        <f t="shared" ref="AJ16:AJ24" si="26">1000*(AA16/AH16)</f>
        <v>0.14081636981826792</v>
      </c>
      <c r="AK16" s="42">
        <f t="shared" ref="AK16:AK24" si="27">1000*Y16</f>
        <v>0.17155044449374313</v>
      </c>
      <c r="AL16" s="42">
        <f t="shared" ref="AL16:AL24" si="28">AI16*61</f>
        <v>904.63010497107109</v>
      </c>
      <c r="AM16" s="42">
        <f t="shared" ref="AM16:AM24" si="29">AJ16*60</f>
        <v>8.4489821890960748</v>
      </c>
      <c r="AN16" s="42">
        <f t="shared" ref="AN16:AN24" si="30">AK16*62</f>
        <v>10.636127558612074</v>
      </c>
      <c r="AO16" s="42">
        <f t="shared" ref="AO16:AO24" si="31">12/61*AL16</f>
        <v>177.96002065004677</v>
      </c>
      <c r="AP16" s="42">
        <f t="shared" ref="AP16:AP24" si="32">12/60*AM16</f>
        <v>1.689796437819215</v>
      </c>
      <c r="AQ16" s="42">
        <f t="shared" ref="AQ16:AQ24" si="33">12/62*AN16</f>
        <v>2.0586053339249175</v>
      </c>
      <c r="AR16" s="42">
        <f t="shared" ref="AR16:AR24" si="34">SUM(AO16:AQ16)</f>
        <v>181.70842242179091</v>
      </c>
      <c r="AS16" s="41">
        <f t="shared" ref="AS16:AS24" si="35">100*(AO16/AR16)</f>
        <v>97.93713372127398</v>
      </c>
      <c r="AT16" s="41">
        <f t="shared" ref="AT16:AT24" si="36">100*(AP16/AR16)</f>
        <v>0.92994942958492743</v>
      </c>
      <c r="AU16" s="41">
        <f t="shared" ref="AU16:AU24" si="37">100*(AQ16/AR16)</f>
        <v>1.1329168491410802</v>
      </c>
      <c r="AV16" s="37">
        <f t="shared" ref="AV16:AV24" si="38">SUM(AS16:AU16)</f>
        <v>99.999999999999986</v>
      </c>
    </row>
    <row r="17" spans="1:48">
      <c r="A17" s="33" t="s">
        <v>77</v>
      </c>
      <c r="B17" s="34"/>
      <c r="C17" s="7">
        <v>0</v>
      </c>
      <c r="D17" s="48">
        <v>8.2100000000000009</v>
      </c>
      <c r="E17" s="33">
        <v>3970</v>
      </c>
      <c r="F17" s="49">
        <v>13.6</v>
      </c>
      <c r="G17" s="33">
        <v>0</v>
      </c>
      <c r="H17" s="2">
        <f t="shared" si="0"/>
        <v>4.6626399224457913</v>
      </c>
      <c r="I17" s="2">
        <f t="shared" si="1"/>
        <v>4.1563453548402451</v>
      </c>
      <c r="J17" s="2">
        <f t="shared" si="2"/>
        <v>4.1006805421181607</v>
      </c>
      <c r="K17" s="10">
        <v>10.232839928127619</v>
      </c>
      <c r="L17" s="10">
        <f>K17/((288-0.0065*C17)/288)^5.256</f>
        <v>10.232839928127619</v>
      </c>
      <c r="M17" s="25">
        <f t="shared" si="3"/>
        <v>-5.7475519447721269E-3</v>
      </c>
      <c r="N17" s="3">
        <f t="shared" si="4"/>
        <v>0</v>
      </c>
      <c r="O17" s="2" t="e">
        <f t="shared" si="5"/>
        <v>#NUM!</v>
      </c>
      <c r="P17" s="3">
        <f t="shared" si="6"/>
        <v>4.8103696195774662E-2</v>
      </c>
      <c r="Q17" s="3">
        <f t="shared" si="7"/>
        <v>3.607679428329331E-7</v>
      </c>
      <c r="R17" s="3">
        <f t="shared" si="8"/>
        <v>3.5712036048256926E-11</v>
      </c>
      <c r="S17" s="3">
        <f t="shared" si="9"/>
        <v>0.13747381980251658</v>
      </c>
      <c r="T17" s="3">
        <f t="shared" si="10"/>
        <v>9.1251277507615363E-4</v>
      </c>
      <c r="U17" s="3">
        <f t="shared" si="11"/>
        <v>3.9810717055349727E-2</v>
      </c>
      <c r="V17" s="3">
        <f t="shared" si="12"/>
        <v>3.9438392246539401E-15</v>
      </c>
      <c r="W17" s="3">
        <f t="shared" si="13"/>
        <v>3.8263915327903938E-9</v>
      </c>
      <c r="X17" s="3">
        <f t="shared" si="14"/>
        <v>6.3961582769039941E-7</v>
      </c>
      <c r="Y17" s="3">
        <f t="shared" si="15"/>
        <v>1.5565914066395856E-4</v>
      </c>
      <c r="Z17" s="3">
        <f t="shared" si="16"/>
        <v>9.1075710621952612E-3</v>
      </c>
      <c r="AA17" s="3">
        <f t="shared" si="17"/>
        <v>5.2749358185398841E-5</v>
      </c>
      <c r="AB17" s="3">
        <f t="shared" si="18"/>
        <v>0</v>
      </c>
      <c r="AC17" s="3">
        <f t="shared" si="19"/>
        <v>0</v>
      </c>
      <c r="AD17" s="3">
        <f t="shared" si="20"/>
        <v>0</v>
      </c>
      <c r="AE17" s="3">
        <f t="shared" si="21"/>
        <v>0</v>
      </c>
      <c r="AF17" s="16">
        <f t="shared" si="22"/>
        <v>7.0297187607086281E-2</v>
      </c>
      <c r="AG17" s="2">
        <f t="shared" si="23"/>
        <v>0.94995831004847076</v>
      </c>
      <c r="AH17" s="2">
        <f t="shared" si="24"/>
        <v>0.81436328372250721</v>
      </c>
      <c r="AI17" s="42">
        <f t="shared" si="25"/>
        <v>9.5873376398281689</v>
      </c>
      <c r="AJ17" s="42">
        <f t="shared" si="26"/>
        <v>6.4773743168132669E-2</v>
      </c>
      <c r="AK17" s="42">
        <f t="shared" si="27"/>
        <v>0.15565914066395856</v>
      </c>
      <c r="AL17" s="42">
        <f t="shared" si="28"/>
        <v>584.8275960295183</v>
      </c>
      <c r="AM17" s="42">
        <f t="shared" si="29"/>
        <v>3.8864245900879602</v>
      </c>
      <c r="AN17" s="42">
        <f t="shared" si="30"/>
        <v>9.6508667211654302</v>
      </c>
      <c r="AO17" s="42">
        <f t="shared" si="31"/>
        <v>115.04805167793802</v>
      </c>
      <c r="AP17" s="42">
        <f t="shared" si="32"/>
        <v>0.77728491801759203</v>
      </c>
      <c r="AQ17" s="42">
        <f t="shared" si="33"/>
        <v>1.8679096879675026</v>
      </c>
      <c r="AR17" s="42">
        <f t="shared" si="34"/>
        <v>117.6932462839231</v>
      </c>
      <c r="AS17" s="41">
        <f t="shared" si="35"/>
        <v>97.752466951583756</v>
      </c>
      <c r="AT17" s="41">
        <f t="shared" si="36"/>
        <v>0.66043289870896282</v>
      </c>
      <c r="AU17" s="41">
        <f t="shared" si="37"/>
        <v>1.587100149707281</v>
      </c>
      <c r="AV17" s="37">
        <f t="shared" si="38"/>
        <v>100</v>
      </c>
    </row>
    <row r="18" spans="1:48">
      <c r="A18" s="33" t="s">
        <v>78</v>
      </c>
      <c r="B18" s="34"/>
      <c r="C18" s="7">
        <v>0</v>
      </c>
      <c r="D18" s="48">
        <v>8.31</v>
      </c>
      <c r="E18" s="33">
        <v>4010</v>
      </c>
      <c r="F18" s="49">
        <v>18</v>
      </c>
      <c r="G18" s="33">
        <v>0</v>
      </c>
      <c r="H18" s="2">
        <f t="shared" si="0"/>
        <v>3.7409818371435892</v>
      </c>
      <c r="I18" s="2">
        <f t="shared" si="1"/>
        <v>3.5103379199597589</v>
      </c>
      <c r="J18" s="2">
        <f t="shared" si="2"/>
        <v>3.4447755125387447</v>
      </c>
      <c r="K18" s="10">
        <v>10.232839928127619</v>
      </c>
      <c r="L18" s="10">
        <f>K18/((288-0.0065*C18)/288)^5.256</f>
        <v>10.232839928127619</v>
      </c>
      <c r="M18" s="25">
        <f t="shared" si="3"/>
        <v>-7.6973307389851375E-3</v>
      </c>
      <c r="N18" s="3">
        <f t="shared" si="4"/>
        <v>0</v>
      </c>
      <c r="O18" s="2" t="e">
        <f t="shared" si="5"/>
        <v>#NUM!</v>
      </c>
      <c r="P18" s="3">
        <f t="shared" si="6"/>
        <v>4.2017044270644788E-2</v>
      </c>
      <c r="Q18" s="3">
        <f t="shared" si="7"/>
        <v>3.9135927943371264E-7</v>
      </c>
      <c r="R18" s="3">
        <f t="shared" si="8"/>
        <v>3.9926496470496718E-11</v>
      </c>
      <c r="S18" s="3">
        <f t="shared" si="9"/>
        <v>0.12014342265446401</v>
      </c>
      <c r="T18" s="3">
        <f t="shared" si="10"/>
        <v>8.5200659278004726E-4</v>
      </c>
      <c r="U18" s="3">
        <f t="shared" si="11"/>
        <v>3.9810717055349727E-2</v>
      </c>
      <c r="V18" s="3">
        <f t="shared" si="12"/>
        <v>5.711915986308093E-15</v>
      </c>
      <c r="W18" s="3">
        <f t="shared" si="13"/>
        <v>3.6696246927626757E-9</v>
      </c>
      <c r="X18" s="3">
        <f t="shared" si="14"/>
        <v>1.166223560600974E-6</v>
      </c>
      <c r="Y18" s="3">
        <f t="shared" si="15"/>
        <v>1.3596329433376394E-4</v>
      </c>
      <c r="Z18" s="3">
        <f t="shared" si="16"/>
        <v>1.0864189057523753E-2</v>
      </c>
      <c r="AA18" s="3">
        <f t="shared" si="17"/>
        <v>8.8564263889435465E-5</v>
      </c>
      <c r="AB18" s="3">
        <f t="shared" si="18"/>
        <v>0</v>
      </c>
      <c r="AC18" s="3">
        <f t="shared" si="19"/>
        <v>0</v>
      </c>
      <c r="AD18" s="3">
        <f t="shared" si="20"/>
        <v>0</v>
      </c>
      <c r="AE18" s="3">
        <f t="shared" si="21"/>
        <v>0</v>
      </c>
      <c r="AF18" s="16">
        <f t="shared" si="22"/>
        <v>7.6758687223816888E-2</v>
      </c>
      <c r="AG18" s="2">
        <f t="shared" si="23"/>
        <v>0.94595483271245262</v>
      </c>
      <c r="AH18" s="2">
        <f t="shared" si="24"/>
        <v>0.80072170521717589</v>
      </c>
      <c r="AI18" s="42">
        <f t="shared" si="25"/>
        <v>11.484891965054533</v>
      </c>
      <c r="AJ18" s="42">
        <f t="shared" si="26"/>
        <v>0.11060554910949318</v>
      </c>
      <c r="AK18" s="42">
        <f t="shared" si="27"/>
        <v>0.13596329433376395</v>
      </c>
      <c r="AL18" s="42">
        <f t="shared" si="28"/>
        <v>700.5784098683265</v>
      </c>
      <c r="AM18" s="42">
        <f t="shared" si="29"/>
        <v>6.6363329465695902</v>
      </c>
      <c r="AN18" s="42">
        <f t="shared" si="30"/>
        <v>8.4297242486933648</v>
      </c>
      <c r="AO18" s="42">
        <f t="shared" si="31"/>
        <v>137.81870358065439</v>
      </c>
      <c r="AP18" s="42">
        <f t="shared" si="32"/>
        <v>1.3272665893139182</v>
      </c>
      <c r="AQ18" s="42">
        <f t="shared" si="33"/>
        <v>1.6315595320051672</v>
      </c>
      <c r="AR18" s="42">
        <f t="shared" si="34"/>
        <v>140.77752970197346</v>
      </c>
      <c r="AS18" s="41">
        <f t="shared" si="35"/>
        <v>97.898225570811675</v>
      </c>
      <c r="AT18" s="41">
        <f t="shared" si="36"/>
        <v>0.94281139335499509</v>
      </c>
      <c r="AU18" s="41">
        <f t="shared" si="37"/>
        <v>1.1589630358333354</v>
      </c>
      <c r="AV18" s="37">
        <f t="shared" si="38"/>
        <v>100.00000000000001</v>
      </c>
    </row>
    <row r="19" spans="1:48">
      <c r="A19" s="33" t="s">
        <v>79</v>
      </c>
      <c r="B19" s="34"/>
      <c r="C19" s="7">
        <v>0</v>
      </c>
      <c r="D19" s="48">
        <v>8.24</v>
      </c>
      <c r="E19" s="33">
        <v>3850</v>
      </c>
      <c r="F19" s="49">
        <v>16.600000000000001</v>
      </c>
      <c r="G19" s="33">
        <v>0</v>
      </c>
      <c r="H19" s="2">
        <f t="shared" si="0"/>
        <v>4.2198991810652711</v>
      </c>
      <c r="I19" s="2">
        <f t="shared" si="1"/>
        <v>3.8944881835778289</v>
      </c>
      <c r="J19" s="2">
        <f t="shared" si="2"/>
        <v>3.8344250338253776</v>
      </c>
      <c r="K19" s="10">
        <v>10.232839928127619</v>
      </c>
      <c r="L19" s="10">
        <f>K19/((288-0.0065*C19)/288)^5.256</f>
        <v>10.232839928127619</v>
      </c>
      <c r="M19" s="25">
        <f t="shared" si="3"/>
        <v>-6.221085028241884E-3</v>
      </c>
      <c r="N19" s="3">
        <f t="shared" si="4"/>
        <v>0</v>
      </c>
      <c r="O19" s="2" t="e">
        <f t="shared" si="5"/>
        <v>#NUM!</v>
      </c>
      <c r="P19" s="3">
        <f t="shared" si="6"/>
        <v>4.3824779010040137E-2</v>
      </c>
      <c r="Q19" s="3">
        <f t="shared" si="7"/>
        <v>3.8187453269292387E-7</v>
      </c>
      <c r="R19" s="3">
        <f t="shared" si="8"/>
        <v>3.8579010366271479E-11</v>
      </c>
      <c r="S19" s="3">
        <f t="shared" si="9"/>
        <v>0.12540648637395829</v>
      </c>
      <c r="T19" s="3">
        <f t="shared" si="10"/>
        <v>8.7224581626483828E-4</v>
      </c>
      <c r="U19" s="3">
        <f t="shared" si="11"/>
        <v>3.9810717055349727E-2</v>
      </c>
      <c r="V19" s="3">
        <f t="shared" si="12"/>
        <v>5.085993322371225E-15</v>
      </c>
      <c r="W19" s="3">
        <f t="shared" si="13"/>
        <v>3.7232652577714113E-9</v>
      </c>
      <c r="X19" s="3">
        <f t="shared" si="14"/>
        <v>8.8384434106305306E-7</v>
      </c>
      <c r="Y19" s="3">
        <f t="shared" si="15"/>
        <v>1.4181295783856923E-4</v>
      </c>
      <c r="Z19" s="3">
        <f t="shared" si="16"/>
        <v>9.4110181602976226E-3</v>
      </c>
      <c r="AA19" s="3">
        <f t="shared" si="17"/>
        <v>6.3093946666855448E-5</v>
      </c>
      <c r="AB19" s="3">
        <f t="shared" si="18"/>
        <v>0</v>
      </c>
      <c r="AC19" s="3">
        <f t="shared" si="19"/>
        <v>0</v>
      </c>
      <c r="AD19" s="3">
        <f t="shared" si="20"/>
        <v>0</v>
      </c>
      <c r="AE19" s="3">
        <f t="shared" si="21"/>
        <v>0</v>
      </c>
      <c r="AF19" s="16">
        <f t="shared" si="22"/>
        <v>7.1513839359674605E-2</v>
      </c>
      <c r="AG19" s="2">
        <f t="shared" si="23"/>
        <v>0.94919754568921588</v>
      </c>
      <c r="AH19" s="2">
        <f t="shared" si="24"/>
        <v>0.81175771787478546</v>
      </c>
      <c r="AI19" s="42">
        <f t="shared" si="25"/>
        <v>9.9147097493433218</v>
      </c>
      <c r="AJ19" s="42">
        <f t="shared" si="26"/>
        <v>7.7725096143265449E-2</v>
      </c>
      <c r="AK19" s="42">
        <f t="shared" si="27"/>
        <v>0.14181295783856923</v>
      </c>
      <c r="AL19" s="42">
        <f t="shared" si="28"/>
        <v>604.79729470994266</v>
      </c>
      <c r="AM19" s="42">
        <f t="shared" si="29"/>
        <v>4.6635057685959271</v>
      </c>
      <c r="AN19" s="42">
        <f t="shared" si="30"/>
        <v>8.7924033859912925</v>
      </c>
      <c r="AO19" s="42">
        <f t="shared" si="31"/>
        <v>118.97651699211987</v>
      </c>
      <c r="AP19" s="42">
        <f t="shared" si="32"/>
        <v>0.93270115371918549</v>
      </c>
      <c r="AQ19" s="42">
        <f t="shared" si="33"/>
        <v>1.7017554940628308</v>
      </c>
      <c r="AR19" s="42">
        <f t="shared" si="34"/>
        <v>121.61097363990189</v>
      </c>
      <c r="AS19" s="41">
        <f t="shared" si="35"/>
        <v>97.8337015411267</v>
      </c>
      <c r="AT19" s="41">
        <f t="shared" si="36"/>
        <v>0.76695476222480963</v>
      </c>
      <c r="AU19" s="41">
        <f t="shared" si="37"/>
        <v>1.3993436966484958</v>
      </c>
      <c r="AV19" s="37">
        <f t="shared" si="38"/>
        <v>100.00000000000001</v>
      </c>
    </row>
    <row r="20" spans="1:48">
      <c r="A20" s="33" t="s">
        <v>80</v>
      </c>
      <c r="B20" s="34"/>
      <c r="C20" s="7">
        <v>0</v>
      </c>
      <c r="D20" s="48">
        <v>8.42</v>
      </c>
      <c r="E20" s="33">
        <v>3890</v>
      </c>
      <c r="F20" s="49">
        <v>15.2</v>
      </c>
      <c r="G20" s="33">
        <v>0</v>
      </c>
      <c r="H20" s="2">
        <f t="shared" si="0"/>
        <v>2.8170251373842929</v>
      </c>
      <c r="I20" s="2">
        <f t="shared" si="1"/>
        <v>2.5576547336789761</v>
      </c>
      <c r="J20" s="2">
        <f t="shared" si="2"/>
        <v>2.5003593243576345</v>
      </c>
      <c r="K20" s="10">
        <v>10.232839928127619</v>
      </c>
      <c r="L20" s="10">
        <f>K20/((288-0.0065*C20)/288)^5.256</f>
        <v>10.232839928127619</v>
      </c>
      <c r="M20" s="25">
        <f t="shared" si="3"/>
        <v>-1.1909187808750454E-2</v>
      </c>
      <c r="N20" s="3">
        <f t="shared" si="4"/>
        <v>0</v>
      </c>
      <c r="O20" s="2" t="e">
        <f t="shared" si="5"/>
        <v>#NUM!</v>
      </c>
      <c r="P20" s="3">
        <f t="shared" si="6"/>
        <v>4.5749370664349309E-2</v>
      </c>
      <c r="Q20" s="3">
        <f t="shared" si="7"/>
        <v>3.7214847195205452E-7</v>
      </c>
      <c r="R20" s="3">
        <f t="shared" si="8"/>
        <v>3.7236814430514029E-11</v>
      </c>
      <c r="S20" s="3">
        <f t="shared" si="9"/>
        <v>0.13090010653261064</v>
      </c>
      <c r="T20" s="3">
        <f t="shared" si="10"/>
        <v>8.9160160109653594E-4</v>
      </c>
      <c r="U20" s="3">
        <f t="shared" si="11"/>
        <v>3.9810717055349727E-2</v>
      </c>
      <c r="V20" s="3">
        <f t="shared" si="12"/>
        <v>4.5211414275128009E-15</v>
      </c>
      <c r="W20" s="3">
        <f t="shared" si="13"/>
        <v>3.7734804964523185E-9</v>
      </c>
      <c r="X20" s="3">
        <f t="shared" si="14"/>
        <v>1.1891813583619132E-6</v>
      </c>
      <c r="Y20" s="3">
        <f t="shared" si="15"/>
        <v>1.4804075958210983E-4</v>
      </c>
      <c r="Z20" s="3">
        <f t="shared" si="16"/>
        <v>1.4490972919889454E-2</v>
      </c>
      <c r="AA20" s="3">
        <f t="shared" si="17"/>
        <v>1.4192864786806422E-4</v>
      </c>
      <c r="AB20" s="3">
        <f t="shared" si="18"/>
        <v>0</v>
      </c>
      <c r="AC20" s="3">
        <f t="shared" si="19"/>
        <v>0</v>
      </c>
      <c r="AD20" s="3">
        <f t="shared" si="20"/>
        <v>0</v>
      </c>
      <c r="AE20" s="3">
        <f t="shared" si="21"/>
        <v>0</v>
      </c>
      <c r="AF20" s="16">
        <f t="shared" si="22"/>
        <v>8.8385675844084716E-2</v>
      </c>
      <c r="AG20" s="2">
        <f t="shared" si="23"/>
        <v>0.9389745635144966</v>
      </c>
      <c r="AH20" s="2">
        <f t="shared" si="24"/>
        <v>0.77734768613367689</v>
      </c>
      <c r="AI20" s="42">
        <f t="shared" si="25"/>
        <v>15.432764084312419</v>
      </c>
      <c r="AJ20" s="42">
        <f t="shared" si="26"/>
        <v>0.1825806526471829</v>
      </c>
      <c r="AK20" s="42">
        <f t="shared" si="27"/>
        <v>0.14804075958210983</v>
      </c>
      <c r="AL20" s="42">
        <f t="shared" si="28"/>
        <v>941.39860914305757</v>
      </c>
      <c r="AM20" s="42">
        <f t="shared" si="29"/>
        <v>10.954839158830975</v>
      </c>
      <c r="AN20" s="42">
        <f t="shared" si="30"/>
        <v>9.1785270940908088</v>
      </c>
      <c r="AO20" s="42">
        <f t="shared" si="31"/>
        <v>185.19316901174903</v>
      </c>
      <c r="AP20" s="42">
        <f t="shared" si="32"/>
        <v>2.1909678317661951</v>
      </c>
      <c r="AQ20" s="42">
        <f t="shared" si="33"/>
        <v>1.7764891149853177</v>
      </c>
      <c r="AR20" s="42">
        <f t="shared" si="34"/>
        <v>189.16062595850053</v>
      </c>
      <c r="AS20" s="41">
        <f t="shared" si="35"/>
        <v>97.902598954381816</v>
      </c>
      <c r="AT20" s="41">
        <f t="shared" si="36"/>
        <v>1.1582578671773194</v>
      </c>
      <c r="AU20" s="41">
        <f t="shared" si="37"/>
        <v>0.93914317844087558</v>
      </c>
      <c r="AV20" s="37">
        <f t="shared" si="38"/>
        <v>100.00000000000001</v>
      </c>
    </row>
    <row r="21" spans="1:48">
      <c r="A21" s="33" t="s">
        <v>81</v>
      </c>
      <c r="B21" s="34"/>
      <c r="C21" s="7">
        <v>0</v>
      </c>
      <c r="D21" s="48">
        <v>8.32</v>
      </c>
      <c r="E21" s="33">
        <v>3940</v>
      </c>
      <c r="F21" s="49">
        <v>17</v>
      </c>
      <c r="G21" s="33">
        <v>0</v>
      </c>
      <c r="H21" s="2">
        <f t="shared" si="0"/>
        <v>3.5920092468930398</v>
      </c>
      <c r="I21" s="2">
        <f t="shared" si="1"/>
        <v>3.3306959292617053</v>
      </c>
      <c r="J21" s="2">
        <f t="shared" si="2"/>
        <v>3.2685313548345878</v>
      </c>
      <c r="K21" s="10">
        <v>10.232839928127619</v>
      </c>
      <c r="L21" s="10">
        <f>K21/((288-0.0065*C21)/288)^5.256</f>
        <v>10.232839928127619</v>
      </c>
      <c r="M21" s="25">
        <f t="shared" si="3"/>
        <v>-8.2024512850985692E-3</v>
      </c>
      <c r="N21" s="3">
        <f t="shared" si="4"/>
        <v>0</v>
      </c>
      <c r="O21" s="2" t="e">
        <f t="shared" si="5"/>
        <v>#NUM!</v>
      </c>
      <c r="P21" s="3">
        <f t="shared" si="6"/>
        <v>4.3296737482835621E-2</v>
      </c>
      <c r="Q21" s="3">
        <f t="shared" si="7"/>
        <v>3.8461010431566362E-7</v>
      </c>
      <c r="R21" s="3">
        <f t="shared" si="8"/>
        <v>3.8963559130045937E-11</v>
      </c>
      <c r="S21" s="3">
        <f t="shared" si="9"/>
        <v>0.12387965865303698</v>
      </c>
      <c r="T21" s="3">
        <f t="shared" si="10"/>
        <v>8.6654895615912244E-4</v>
      </c>
      <c r="U21" s="3">
        <f t="shared" si="11"/>
        <v>3.9810717055349727E-2</v>
      </c>
      <c r="V21" s="3">
        <f t="shared" si="12"/>
        <v>5.2583645285688719E-15</v>
      </c>
      <c r="W21" s="3">
        <f t="shared" si="13"/>
        <v>3.7082791029120638E-9</v>
      </c>
      <c r="X21" s="3">
        <f t="shared" si="14"/>
        <v>1.0986280664159094E-6</v>
      </c>
      <c r="Y21" s="3">
        <f t="shared" si="15"/>
        <v>1.4010426397801807E-4</v>
      </c>
      <c r="Z21" s="3">
        <f t="shared" si="16"/>
        <v>1.1258279921800528E-2</v>
      </c>
      <c r="AA21" s="3">
        <f t="shared" si="17"/>
        <v>9.1649618875193486E-5</v>
      </c>
      <c r="AB21" s="3">
        <f t="shared" si="18"/>
        <v>0</v>
      </c>
      <c r="AC21" s="3">
        <f t="shared" si="19"/>
        <v>0</v>
      </c>
      <c r="AD21" s="3">
        <f t="shared" si="20"/>
        <v>0</v>
      </c>
      <c r="AE21" s="3">
        <f t="shared" si="21"/>
        <v>0</v>
      </c>
      <c r="AF21" s="16">
        <f t="shared" si="22"/>
        <v>7.8070982784533477E-2</v>
      </c>
      <c r="AG21" s="2">
        <f t="shared" si="23"/>
        <v>0.94515274646252867</v>
      </c>
      <c r="AH21" s="2">
        <f t="shared" si="24"/>
        <v>0.79800939188071585</v>
      </c>
      <c r="AI21" s="42">
        <f t="shared" si="25"/>
        <v>11.91159837807959</v>
      </c>
      <c r="AJ21" s="42">
        <f t="shared" si="26"/>
        <v>0.11484779478496791</v>
      </c>
      <c r="AK21" s="42">
        <f t="shared" si="27"/>
        <v>0.14010426397801806</v>
      </c>
      <c r="AL21" s="42">
        <f t="shared" si="28"/>
        <v>726.60750106285502</v>
      </c>
      <c r="AM21" s="42">
        <f t="shared" si="29"/>
        <v>6.8908676870980745</v>
      </c>
      <c r="AN21" s="42">
        <f t="shared" si="30"/>
        <v>8.6864643666371197</v>
      </c>
      <c r="AO21" s="42">
        <f t="shared" si="31"/>
        <v>142.93918053695509</v>
      </c>
      <c r="AP21" s="42">
        <f t="shared" si="32"/>
        <v>1.3781735374196149</v>
      </c>
      <c r="AQ21" s="42">
        <f t="shared" si="33"/>
        <v>1.6812511677362167</v>
      </c>
      <c r="AR21" s="42">
        <f t="shared" si="34"/>
        <v>145.99860524211093</v>
      </c>
      <c r="AS21" s="41">
        <f t="shared" si="35"/>
        <v>97.904483607852029</v>
      </c>
      <c r="AT21" s="41">
        <f t="shared" si="36"/>
        <v>0.94396349549653313</v>
      </c>
      <c r="AU21" s="41">
        <f t="shared" si="37"/>
        <v>1.1515528966514312</v>
      </c>
      <c r="AV21" s="37">
        <f t="shared" si="38"/>
        <v>100</v>
      </c>
    </row>
    <row r="22" spans="1:48">
      <c r="A22" s="33" t="s">
        <v>82</v>
      </c>
      <c r="B22" s="34"/>
      <c r="C22" s="7">
        <v>0</v>
      </c>
      <c r="D22" s="48">
        <v>8.17</v>
      </c>
      <c r="E22" s="33">
        <v>3930</v>
      </c>
      <c r="F22" s="49">
        <v>17.8</v>
      </c>
      <c r="G22" s="33">
        <v>0</v>
      </c>
      <c r="H22" s="2">
        <f t="shared" si="0"/>
        <v>5.0609726936616815</v>
      </c>
      <c r="I22" s="2">
        <f t="shared" si="1"/>
        <v>4.7376093475650132</v>
      </c>
      <c r="J22" s="2">
        <f t="shared" si="2"/>
        <v>4.6734873110977411</v>
      </c>
      <c r="K22" s="10">
        <v>10.232839928127619</v>
      </c>
      <c r="L22" s="10">
        <f>K22/((288-0.0065*C22)/288)^5.256</f>
        <v>10.232839928127619</v>
      </c>
      <c r="M22" s="25">
        <f t="shared" si="3"/>
        <v>-4.4642876088175909E-3</v>
      </c>
      <c r="N22" s="3">
        <f t="shared" si="4"/>
        <v>0</v>
      </c>
      <c r="O22" s="2" t="e">
        <f t="shared" si="5"/>
        <v>#NUM!</v>
      </c>
      <c r="P22" s="3">
        <f t="shared" si="6"/>
        <v>4.2268461463769592E-2</v>
      </c>
      <c r="Q22" s="3">
        <f t="shared" si="7"/>
        <v>3.9001997000441933E-7</v>
      </c>
      <c r="R22" s="3">
        <f t="shared" si="8"/>
        <v>3.9733754979840495E-11</v>
      </c>
      <c r="S22" s="3">
        <f t="shared" si="9"/>
        <v>0.12088154440690625</v>
      </c>
      <c r="T22" s="3">
        <f t="shared" si="10"/>
        <v>8.549482101165546E-4</v>
      </c>
      <c r="U22" s="3">
        <f t="shared" si="11"/>
        <v>3.9810717055349727E-2</v>
      </c>
      <c r="V22" s="3">
        <f t="shared" si="12"/>
        <v>5.6185563247742976E-15</v>
      </c>
      <c r="W22" s="3">
        <f t="shared" si="13"/>
        <v>3.6774888256358115E-9</v>
      </c>
      <c r="X22" s="3">
        <f t="shared" si="14"/>
        <v>8.3104537893692001E-7</v>
      </c>
      <c r="Y22" s="3">
        <f t="shared" si="15"/>
        <v>1.3677685726811052E-4</v>
      </c>
      <c r="Z22" s="3">
        <f t="shared" si="16"/>
        <v>7.8904080875691705E-3</v>
      </c>
      <c r="AA22" s="3">
        <f t="shared" si="17"/>
        <v>4.6372346746441018E-5</v>
      </c>
      <c r="AB22" s="3">
        <f t="shared" si="18"/>
        <v>0</v>
      </c>
      <c r="AC22" s="3">
        <f t="shared" si="19"/>
        <v>0</v>
      </c>
      <c r="AD22" s="3">
        <f t="shared" si="20"/>
        <v>0</v>
      </c>
      <c r="AE22" s="3">
        <f t="shared" si="21"/>
        <v>0</v>
      </c>
      <c r="AF22" s="16">
        <f t="shared" si="22"/>
        <v>6.5730168777285339E-2</v>
      </c>
      <c r="AG22" s="2">
        <f t="shared" si="23"/>
        <v>0.95284318885587627</v>
      </c>
      <c r="AH22" s="2">
        <f t="shared" si="24"/>
        <v>0.82430082694340889</v>
      </c>
      <c r="AI22" s="42">
        <f t="shared" si="25"/>
        <v>8.2809093666750719</v>
      </c>
      <c r="AJ22" s="42">
        <f t="shared" si="26"/>
        <v>5.6256581615227036E-2</v>
      </c>
      <c r="AK22" s="42">
        <f t="shared" si="27"/>
        <v>0.13677685726811054</v>
      </c>
      <c r="AL22" s="42">
        <f t="shared" si="28"/>
        <v>505.13547136717938</v>
      </c>
      <c r="AM22" s="42">
        <f t="shared" si="29"/>
        <v>3.375394896913622</v>
      </c>
      <c r="AN22" s="42">
        <f t="shared" si="30"/>
        <v>8.4801651506228524</v>
      </c>
      <c r="AO22" s="42">
        <f t="shared" si="31"/>
        <v>99.370912400100863</v>
      </c>
      <c r="AP22" s="42">
        <f t="shared" si="32"/>
        <v>0.67507897938272443</v>
      </c>
      <c r="AQ22" s="42">
        <f t="shared" si="33"/>
        <v>1.6413222872173263</v>
      </c>
      <c r="AR22" s="42">
        <f t="shared" si="34"/>
        <v>101.6873136667009</v>
      </c>
      <c r="AS22" s="41">
        <f t="shared" si="35"/>
        <v>97.722035145709057</v>
      </c>
      <c r="AT22" s="41">
        <f t="shared" si="36"/>
        <v>0.66387728718591332</v>
      </c>
      <c r="AU22" s="41">
        <f t="shared" si="37"/>
        <v>1.614087567105043</v>
      </c>
      <c r="AV22" s="37">
        <f t="shared" si="38"/>
        <v>100.00000000000001</v>
      </c>
    </row>
    <row r="23" spans="1:48">
      <c r="A23" s="33" t="s">
        <v>83</v>
      </c>
      <c r="B23" s="34"/>
      <c r="C23" s="7">
        <v>0</v>
      </c>
      <c r="D23" s="48">
        <v>8.01</v>
      </c>
      <c r="E23" s="33">
        <v>3680</v>
      </c>
      <c r="F23" s="49">
        <v>16.600000000000001</v>
      </c>
      <c r="G23" s="33">
        <v>0</v>
      </c>
      <c r="H23" s="2">
        <f t="shared" si="0"/>
        <v>6.8499857581776054</v>
      </c>
      <c r="I23" s="2">
        <f t="shared" si="1"/>
        <v>6.3217600890918506</v>
      </c>
      <c r="J23" s="2">
        <f t="shared" si="2"/>
        <v>6.2640205983118458</v>
      </c>
      <c r="K23" s="10">
        <v>10.232839928127619</v>
      </c>
      <c r="L23" s="10">
        <f>K23/((288-0.0065*C23)/288)^5.256</f>
        <v>10.232839928127619</v>
      </c>
      <c r="M23" s="25">
        <f t="shared" si="3"/>
        <v>-2.1484481238778709E-3</v>
      </c>
      <c r="N23" s="3">
        <f t="shared" si="4"/>
        <v>0</v>
      </c>
      <c r="O23" s="2" t="e">
        <f t="shared" si="5"/>
        <v>#NUM!</v>
      </c>
      <c r="P23" s="3">
        <f t="shared" si="6"/>
        <v>4.3824779010040137E-2</v>
      </c>
      <c r="Q23" s="3">
        <f t="shared" si="7"/>
        <v>3.8187453269292387E-7</v>
      </c>
      <c r="R23" s="3">
        <f t="shared" si="8"/>
        <v>3.8579010366271479E-11</v>
      </c>
      <c r="S23" s="3">
        <f t="shared" si="9"/>
        <v>0.12540648637395829</v>
      </c>
      <c r="T23" s="3">
        <f t="shared" si="10"/>
        <v>8.7224581626483828E-4</v>
      </c>
      <c r="U23" s="3">
        <f t="shared" si="11"/>
        <v>3.9810717055349727E-2</v>
      </c>
      <c r="V23" s="3">
        <f t="shared" si="12"/>
        <v>5.085993322371225E-15</v>
      </c>
      <c r="W23" s="3">
        <f t="shared" si="13"/>
        <v>3.7232652577714113E-9</v>
      </c>
      <c r="X23" s="3">
        <f t="shared" si="14"/>
        <v>5.2044613255691937E-7</v>
      </c>
      <c r="Y23" s="3">
        <f t="shared" si="15"/>
        <v>1.4181295783856923E-4</v>
      </c>
      <c r="Z23" s="3">
        <f t="shared" si="16"/>
        <v>5.5416183341274747E-3</v>
      </c>
      <c r="AA23" s="3">
        <f t="shared" si="17"/>
        <v>2.1876996349885407E-5</v>
      </c>
      <c r="AB23" s="3">
        <f t="shared" si="18"/>
        <v>0</v>
      </c>
      <c r="AC23" s="3">
        <f t="shared" si="19"/>
        <v>0</v>
      </c>
      <c r="AD23" s="3">
        <f t="shared" si="20"/>
        <v>0</v>
      </c>
      <c r="AE23" s="3">
        <f t="shared" si="21"/>
        <v>0</v>
      </c>
      <c r="AF23" s="16">
        <f t="shared" si="22"/>
        <v>5.5649939048704224E-2</v>
      </c>
      <c r="AG23" s="2">
        <f t="shared" si="23"/>
        <v>0.95937710542718868</v>
      </c>
      <c r="AH23" s="2">
        <f t="shared" si="24"/>
        <v>0.84714431553280867</v>
      </c>
      <c r="AI23" s="42">
        <f t="shared" si="25"/>
        <v>5.7762670203182713</v>
      </c>
      <c r="AJ23" s="42">
        <f t="shared" si="26"/>
        <v>2.582440317282415E-2</v>
      </c>
      <c r="AK23" s="42">
        <f t="shared" si="27"/>
        <v>0.14181295783856923</v>
      </c>
      <c r="AL23" s="42">
        <f t="shared" si="28"/>
        <v>352.35228823941458</v>
      </c>
      <c r="AM23" s="42">
        <f t="shared" si="29"/>
        <v>1.549464190369449</v>
      </c>
      <c r="AN23" s="42">
        <f t="shared" si="30"/>
        <v>8.7924033859912925</v>
      </c>
      <c r="AO23" s="42">
        <f t="shared" si="31"/>
        <v>69.315204243819267</v>
      </c>
      <c r="AP23" s="42">
        <f t="shared" si="32"/>
        <v>0.30989283807388984</v>
      </c>
      <c r="AQ23" s="42">
        <f t="shared" si="33"/>
        <v>1.7017554940628308</v>
      </c>
      <c r="AR23" s="42">
        <f t="shared" si="34"/>
        <v>71.326852575955996</v>
      </c>
      <c r="AS23" s="41">
        <f t="shared" si="35"/>
        <v>97.179676013329583</v>
      </c>
      <c r="AT23" s="41">
        <f t="shared" si="36"/>
        <v>0.43446868448861503</v>
      </c>
      <c r="AU23" s="41">
        <f t="shared" si="37"/>
        <v>2.3858553021817843</v>
      </c>
      <c r="AV23" s="37">
        <f t="shared" si="38"/>
        <v>99.999999999999986</v>
      </c>
    </row>
    <row r="24" spans="1:48">
      <c r="A24" s="33" t="s">
        <v>84</v>
      </c>
      <c r="B24" s="34"/>
      <c r="C24" s="7">
        <v>0</v>
      </c>
      <c r="D24" s="48">
        <v>8.1999999999999993</v>
      </c>
      <c r="E24" s="33">
        <v>3970</v>
      </c>
      <c r="F24" s="49">
        <v>15.3</v>
      </c>
      <c r="G24" s="33">
        <v>0</v>
      </c>
      <c r="H24" s="2">
        <f t="shared" si="0"/>
        <v>4.7712469307772887</v>
      </c>
      <c r="I24" s="2">
        <f t="shared" si="1"/>
        <v>4.3369679269585824</v>
      </c>
      <c r="J24" s="2">
        <f t="shared" si="2"/>
        <v>4.277730682512594</v>
      </c>
      <c r="K24" s="10">
        <v>10.232839928127619</v>
      </c>
      <c r="L24" s="10">
        <f>K24/((288-0.0065*C24)/288)^5.256</f>
        <v>10.232839928127619</v>
      </c>
      <c r="M24" s="25">
        <f t="shared" si="3"/>
        <v>-5.3289858319772376E-3</v>
      </c>
      <c r="N24" s="3">
        <f t="shared" si="4"/>
        <v>0</v>
      </c>
      <c r="O24" s="2" t="e">
        <f t="shared" si="5"/>
        <v>#NUM!</v>
      </c>
      <c r="P24" s="3">
        <f t="shared" si="6"/>
        <v>4.5607835146463251E-2</v>
      </c>
      <c r="Q24" s="3">
        <f t="shared" si="7"/>
        <v>3.7285069145193461E-7</v>
      </c>
      <c r="R24" s="3">
        <f t="shared" si="8"/>
        <v>3.7332465273331038E-11</v>
      </c>
      <c r="S24" s="3">
        <f t="shared" si="9"/>
        <v>0.13049984624843386</v>
      </c>
      <c r="T24" s="3">
        <f t="shared" si="10"/>
        <v>8.9025047275554747E-4</v>
      </c>
      <c r="U24" s="3">
        <f t="shared" si="11"/>
        <v>3.9810717055349727E-2</v>
      </c>
      <c r="V24" s="3">
        <f t="shared" si="12"/>
        <v>4.5595735708434164E-15</v>
      </c>
      <c r="W24" s="3">
        <f t="shared" si="13"/>
        <v>3.770012036105703E-9</v>
      </c>
      <c r="X24" s="3">
        <f t="shared" si="14"/>
        <v>7.2264371129553406E-7</v>
      </c>
      <c r="Y24" s="3">
        <f t="shared" si="15"/>
        <v>1.4758276365186139E-4</v>
      </c>
      <c r="Z24" s="3">
        <f t="shared" si="16"/>
        <v>8.7210864498798654E-3</v>
      </c>
      <c r="AA24" s="3">
        <f t="shared" si="17"/>
        <v>5.1600898203995529E-5</v>
      </c>
      <c r="AB24" s="3">
        <f t="shared" si="18"/>
        <v>0</v>
      </c>
      <c r="AC24" s="3">
        <f t="shared" si="19"/>
        <v>0</v>
      </c>
      <c r="AD24" s="3">
        <f t="shared" si="20"/>
        <v>0</v>
      </c>
      <c r="AE24" s="3">
        <f t="shared" si="21"/>
        <v>0</v>
      </c>
      <c r="AF24" s="16">
        <f t="shared" si="22"/>
        <v>6.8892647975664995E-2</v>
      </c>
      <c r="AG24" s="2">
        <f t="shared" si="23"/>
        <v>0.95084060542649063</v>
      </c>
      <c r="AH24" s="2">
        <f t="shared" si="24"/>
        <v>0.81739293490146803</v>
      </c>
      <c r="AI24" s="42">
        <f t="shared" si="25"/>
        <v>9.1719751976390445</v>
      </c>
      <c r="AJ24" s="42">
        <f t="shared" si="26"/>
        <v>6.3128632510404209E-2</v>
      </c>
      <c r="AK24" s="42">
        <f t="shared" si="27"/>
        <v>0.14758276365186138</v>
      </c>
      <c r="AL24" s="42">
        <f t="shared" si="28"/>
        <v>559.4904870559817</v>
      </c>
      <c r="AM24" s="42">
        <f t="shared" si="29"/>
        <v>3.7877179506242524</v>
      </c>
      <c r="AN24" s="42">
        <f t="shared" si="30"/>
        <v>9.1501313464154048</v>
      </c>
      <c r="AO24" s="42">
        <f t="shared" si="31"/>
        <v>110.06370237166853</v>
      </c>
      <c r="AP24" s="42">
        <f t="shared" si="32"/>
        <v>0.75754359012485051</v>
      </c>
      <c r="AQ24" s="42">
        <f t="shared" si="33"/>
        <v>1.7709931638223364</v>
      </c>
      <c r="AR24" s="42">
        <f t="shared" si="34"/>
        <v>112.59223912561572</v>
      </c>
      <c r="AS24" s="41">
        <f t="shared" si="35"/>
        <v>97.754253069675443</v>
      </c>
      <c r="AT24" s="41">
        <f t="shared" si="36"/>
        <v>0.67282043239204281</v>
      </c>
      <c r="AU24" s="41">
        <f t="shared" si="37"/>
        <v>1.5729264979325026</v>
      </c>
      <c r="AV24" s="37">
        <f t="shared" si="38"/>
        <v>99.999999999999986</v>
      </c>
    </row>
    <row r="25" spans="1:48">
      <c r="D25" s="32"/>
    </row>
    <row r="26" spans="1:48">
      <c r="D26" s="32"/>
    </row>
    <row r="27" spans="1:48">
      <c r="D27" s="32"/>
    </row>
    <row r="28" spans="1:48">
      <c r="D28" s="32"/>
    </row>
    <row r="29" spans="1:48">
      <c r="D29" s="32"/>
    </row>
    <row r="30" spans="1:48">
      <c r="D30" s="32"/>
    </row>
    <row r="31" spans="1:48">
      <c r="D31" s="32"/>
    </row>
    <row r="32" spans="1:48">
      <c r="D32" s="32"/>
    </row>
    <row r="33" spans="4:4">
      <c r="D33" s="32"/>
    </row>
    <row r="34" spans="4:4">
      <c r="D34" s="32"/>
    </row>
    <row r="35" spans="4:4">
      <c r="D35" s="32"/>
    </row>
    <row r="36" spans="4:4">
      <c r="D36" s="32"/>
    </row>
    <row r="37" spans="4:4">
      <c r="D37" s="32"/>
    </row>
    <row r="38" spans="4:4">
      <c r="D38" s="32"/>
    </row>
    <row r="39" spans="4:4">
      <c r="D39" s="32"/>
    </row>
    <row r="40" spans="4:4">
      <c r="D40" s="32"/>
    </row>
    <row r="41" spans="4:4">
      <c r="D41" s="32"/>
    </row>
    <row r="42" spans="4:4">
      <c r="D42" s="32"/>
    </row>
    <row r="43" spans="4:4">
      <c r="D43" s="32"/>
    </row>
    <row r="44" spans="4:4">
      <c r="D44" s="32"/>
    </row>
    <row r="45" spans="4:4">
      <c r="D45" s="32"/>
    </row>
    <row r="46" spans="4:4">
      <c r="D46" s="32"/>
    </row>
    <row r="47" spans="4:4">
      <c r="D47" s="32"/>
    </row>
    <row r="48" spans="4:4">
      <c r="D48" s="32"/>
    </row>
    <row r="49" spans="4:4">
      <c r="D49" s="32"/>
    </row>
    <row r="50" spans="4:4">
      <c r="D50" s="32"/>
    </row>
    <row r="51" spans="4:4">
      <c r="D51" s="32"/>
    </row>
    <row r="52" spans="4:4">
      <c r="D52" s="32"/>
    </row>
    <row r="53" spans="4:4">
      <c r="D53" s="32"/>
    </row>
    <row r="54" spans="4:4">
      <c r="D54" s="32"/>
    </row>
    <row r="55" spans="4:4">
      <c r="D55" s="32"/>
    </row>
    <row r="56" spans="4:4">
      <c r="D56" s="32"/>
    </row>
    <row r="57" spans="4:4">
      <c r="D57" s="32"/>
    </row>
    <row r="58" spans="4:4">
      <c r="D58" s="32"/>
    </row>
    <row r="59" spans="4:4">
      <c r="D59" s="32"/>
    </row>
    <row r="60" spans="4:4">
      <c r="D60" s="32"/>
    </row>
    <row r="61" spans="4:4">
      <c r="D61" s="32"/>
    </row>
    <row r="62" spans="4:4">
      <c r="D62" s="32"/>
    </row>
    <row r="63" spans="4:4">
      <c r="D63" s="32"/>
    </row>
    <row r="64" spans="4:4">
      <c r="D64" s="32"/>
    </row>
    <row r="65" spans="4:4">
      <c r="D65" s="32"/>
    </row>
    <row r="66" spans="4:4">
      <c r="D66" s="32"/>
    </row>
    <row r="67" spans="4:4">
      <c r="D67" s="32"/>
    </row>
    <row r="68" spans="4:4">
      <c r="D68" s="32"/>
    </row>
    <row r="69" spans="4:4">
      <c r="D69" s="32"/>
    </row>
    <row r="70" spans="4:4">
      <c r="D70" s="32"/>
    </row>
    <row r="71" spans="4:4">
      <c r="D71" s="32"/>
    </row>
    <row r="72" spans="4:4">
      <c r="D72" s="32"/>
    </row>
    <row r="73" spans="4:4">
      <c r="D73" s="32"/>
    </row>
    <row r="74" spans="4:4">
      <c r="D74" s="32"/>
    </row>
    <row r="75" spans="4:4">
      <c r="D75" s="32"/>
    </row>
    <row r="76" spans="4:4">
      <c r="D76" s="32"/>
    </row>
    <row r="77" spans="4:4">
      <c r="D77" s="32"/>
    </row>
    <row r="78" spans="4:4">
      <c r="D78" s="32"/>
    </row>
    <row r="79" spans="4:4">
      <c r="D79" s="32"/>
    </row>
    <row r="80" spans="4:4">
      <c r="D80" s="32"/>
    </row>
    <row r="81" spans="4:4">
      <c r="D81" s="32"/>
    </row>
    <row r="82" spans="4:4">
      <c r="D82" s="32"/>
    </row>
    <row r="83" spans="4:4">
      <c r="D83" s="32"/>
    </row>
    <row r="84" spans="4:4">
      <c r="D84" s="32"/>
    </row>
    <row r="85" spans="4:4">
      <c r="D85" s="32"/>
    </row>
    <row r="86" spans="4:4">
      <c r="D86" s="32"/>
    </row>
    <row r="87" spans="4:4">
      <c r="D87" s="32"/>
    </row>
    <row r="88" spans="4:4">
      <c r="D88" s="32"/>
    </row>
    <row r="89" spans="4:4">
      <c r="D89" s="32"/>
    </row>
    <row r="90" spans="4:4">
      <c r="D90" s="32"/>
    </row>
    <row r="91" spans="4:4">
      <c r="D91" s="32"/>
    </row>
    <row r="92" spans="4:4">
      <c r="D92" s="32"/>
    </row>
    <row r="93" spans="4:4">
      <c r="D93" s="32"/>
    </row>
    <row r="94" spans="4:4">
      <c r="D94" s="32"/>
    </row>
    <row r="95" spans="4:4">
      <c r="D95" s="32"/>
    </row>
    <row r="96" spans="4:4">
      <c r="D96" s="32"/>
    </row>
    <row r="97" spans="4:4">
      <c r="D97" s="32"/>
    </row>
    <row r="98" spans="4:4">
      <c r="D98" s="32"/>
    </row>
    <row r="99" spans="4:4">
      <c r="D99" s="32"/>
    </row>
    <row r="100" spans="4:4">
      <c r="D100" s="32"/>
    </row>
    <row r="101" spans="4:4">
      <c r="D101" s="32"/>
    </row>
    <row r="102" spans="4:4">
      <c r="D102" s="32"/>
    </row>
    <row r="103" spans="4:4">
      <c r="D103" s="32"/>
    </row>
    <row r="104" spans="4:4">
      <c r="D104" s="32"/>
    </row>
    <row r="105" spans="4:4">
      <c r="D105" s="32"/>
    </row>
    <row r="106" spans="4:4">
      <c r="D106" s="32"/>
    </row>
    <row r="107" spans="4:4">
      <c r="D107" s="32"/>
    </row>
    <row r="108" spans="4:4">
      <c r="D108" s="32"/>
    </row>
    <row r="109" spans="4:4">
      <c r="D109" s="32"/>
    </row>
    <row r="110" spans="4:4">
      <c r="D110" s="32"/>
    </row>
    <row r="111" spans="4:4">
      <c r="D111" s="32"/>
    </row>
    <row r="112" spans="4:4">
      <c r="D112" s="32"/>
    </row>
    <row r="113" spans="4:4">
      <c r="D113" s="32"/>
    </row>
    <row r="114" spans="4:4">
      <c r="D114" s="32"/>
    </row>
    <row r="115" spans="4:4">
      <c r="D115" s="32"/>
    </row>
    <row r="116" spans="4:4">
      <c r="D116" s="32"/>
    </row>
    <row r="117" spans="4:4">
      <c r="D117" s="32"/>
    </row>
    <row r="118" spans="4:4">
      <c r="D118" s="32"/>
    </row>
    <row r="119" spans="4:4">
      <c r="D119" s="32"/>
    </row>
    <row r="120" spans="4:4">
      <c r="D120" s="32"/>
    </row>
    <row r="121" spans="4:4">
      <c r="D121" s="32"/>
    </row>
    <row r="122" spans="4:4">
      <c r="D122" s="32"/>
    </row>
    <row r="123" spans="4:4">
      <c r="D123" s="32"/>
    </row>
    <row r="124" spans="4:4">
      <c r="D124" s="32"/>
    </row>
    <row r="125" spans="4:4">
      <c r="D125" s="32"/>
    </row>
    <row r="126" spans="4:4">
      <c r="D126" s="32"/>
    </row>
    <row r="127" spans="4:4">
      <c r="D127" s="32"/>
    </row>
    <row r="128" spans="4:4">
      <c r="D128" s="32"/>
    </row>
    <row r="129" spans="4:4">
      <c r="D129" s="32"/>
    </row>
    <row r="130" spans="4:4">
      <c r="D130" s="32"/>
    </row>
    <row r="131" spans="4:4">
      <c r="D131" s="32"/>
    </row>
    <row r="132" spans="4:4">
      <c r="D132" s="32"/>
    </row>
    <row r="133" spans="4:4">
      <c r="D133" s="32"/>
    </row>
    <row r="134" spans="4:4">
      <c r="D134" s="32"/>
    </row>
    <row r="135" spans="4:4">
      <c r="D135" s="32"/>
    </row>
    <row r="136" spans="4:4">
      <c r="D136" s="32"/>
    </row>
    <row r="137" spans="4:4">
      <c r="D137" s="32"/>
    </row>
    <row r="138" spans="4:4">
      <c r="D138" s="32"/>
    </row>
    <row r="139" spans="4:4">
      <c r="D139" s="32"/>
    </row>
    <row r="140" spans="4:4">
      <c r="D140" s="32"/>
    </row>
    <row r="141" spans="4:4">
      <c r="D141" s="32"/>
    </row>
    <row r="142" spans="4:4">
      <c r="D142" s="32"/>
    </row>
    <row r="143" spans="4:4">
      <c r="D143" s="32"/>
    </row>
    <row r="144" spans="4:4">
      <c r="D144" s="32"/>
    </row>
    <row r="145" spans="4:4">
      <c r="D145" s="32"/>
    </row>
    <row r="146" spans="4:4">
      <c r="D146" s="32"/>
    </row>
    <row r="147" spans="4:4">
      <c r="D147" s="32"/>
    </row>
    <row r="148" spans="4:4">
      <c r="D148" s="32"/>
    </row>
    <row r="149" spans="4:4">
      <c r="D149" s="32"/>
    </row>
    <row r="150" spans="4:4">
      <c r="D150" s="32"/>
    </row>
    <row r="151" spans="4:4">
      <c r="D151" s="32"/>
    </row>
    <row r="152" spans="4:4">
      <c r="D152" s="32"/>
    </row>
    <row r="153" spans="4:4">
      <c r="D153" s="32"/>
    </row>
    <row r="154" spans="4:4">
      <c r="D154" s="32"/>
    </row>
    <row r="155" spans="4:4">
      <c r="D155" s="32"/>
    </row>
    <row r="156" spans="4:4">
      <c r="D156" s="32"/>
    </row>
    <row r="157" spans="4:4">
      <c r="D157" s="32"/>
    </row>
    <row r="158" spans="4:4">
      <c r="D158" s="32"/>
    </row>
    <row r="159" spans="4:4">
      <c r="D159" s="32"/>
    </row>
    <row r="160" spans="4:4">
      <c r="D160" s="32"/>
    </row>
    <row r="161" spans="4:4">
      <c r="D161" s="32"/>
    </row>
    <row r="162" spans="4:4">
      <c r="D162" s="32"/>
    </row>
    <row r="163" spans="4:4">
      <c r="D163" s="32"/>
    </row>
    <row r="164" spans="4:4">
      <c r="D164" s="32"/>
    </row>
    <row r="165" spans="4:4">
      <c r="D165" s="32"/>
    </row>
    <row r="166" spans="4:4">
      <c r="D166" s="32"/>
    </row>
    <row r="167" spans="4:4">
      <c r="D167" s="32"/>
    </row>
    <row r="168" spans="4:4">
      <c r="D168" s="32"/>
    </row>
    <row r="169" spans="4:4">
      <c r="D169" s="32"/>
    </row>
    <row r="170" spans="4:4">
      <c r="D170" s="32"/>
    </row>
    <row r="171" spans="4:4">
      <c r="D171" s="32"/>
    </row>
    <row r="172" spans="4:4">
      <c r="D172" s="32"/>
    </row>
    <row r="173" spans="4:4">
      <c r="D173" s="32"/>
    </row>
    <row r="174" spans="4:4">
      <c r="D174" s="32"/>
    </row>
    <row r="175" spans="4:4">
      <c r="D175" s="32"/>
    </row>
    <row r="176" spans="4:4">
      <c r="D176" s="32"/>
    </row>
    <row r="177" spans="4:4">
      <c r="D177" s="32"/>
    </row>
    <row r="178" spans="4:4">
      <c r="D178" s="32"/>
    </row>
    <row r="179" spans="4:4">
      <c r="D179" s="32"/>
    </row>
    <row r="180" spans="4:4">
      <c r="D180" s="32"/>
    </row>
    <row r="181" spans="4:4">
      <c r="D181" s="32"/>
    </row>
    <row r="182" spans="4:4">
      <c r="D182" s="32"/>
    </row>
    <row r="183" spans="4:4">
      <c r="D183" s="32"/>
    </row>
    <row r="184" spans="4:4">
      <c r="D184" s="32"/>
    </row>
    <row r="185" spans="4:4">
      <c r="D185" s="32"/>
    </row>
    <row r="186" spans="4:4">
      <c r="D186" s="32"/>
    </row>
    <row r="187" spans="4:4">
      <c r="D187" s="32"/>
    </row>
    <row r="188" spans="4:4">
      <c r="D188" s="32"/>
    </row>
    <row r="189" spans="4:4">
      <c r="D189" s="32"/>
    </row>
    <row r="190" spans="4:4">
      <c r="D190" s="32"/>
    </row>
    <row r="191" spans="4:4">
      <c r="D191" s="32"/>
    </row>
    <row r="192" spans="4:4">
      <c r="D192" s="32"/>
    </row>
    <row r="193" spans="4:4">
      <c r="D193" s="32"/>
    </row>
    <row r="194" spans="4:4">
      <c r="D194" s="32"/>
    </row>
    <row r="195" spans="4:4">
      <c r="D195" s="32"/>
    </row>
    <row r="196" spans="4:4">
      <c r="D196" s="32"/>
    </row>
    <row r="197" spans="4:4">
      <c r="D197" s="32"/>
    </row>
    <row r="198" spans="4:4">
      <c r="D198" s="32"/>
    </row>
    <row r="199" spans="4:4">
      <c r="D199" s="32"/>
    </row>
    <row r="200" spans="4:4">
      <c r="D200" s="32"/>
    </row>
    <row r="201" spans="4:4">
      <c r="D201" s="32"/>
    </row>
    <row r="202" spans="4:4">
      <c r="D202" s="32"/>
    </row>
    <row r="203" spans="4:4">
      <c r="D203" s="32"/>
    </row>
    <row r="204" spans="4:4">
      <c r="D204" s="32"/>
    </row>
    <row r="205" spans="4:4">
      <c r="D205" s="32"/>
    </row>
    <row r="206" spans="4:4">
      <c r="D206" s="32"/>
    </row>
    <row r="207" spans="4:4">
      <c r="D207" s="32"/>
    </row>
    <row r="208" spans="4:4">
      <c r="D208" s="32"/>
    </row>
    <row r="209" spans="4:4">
      <c r="D209" s="32"/>
    </row>
    <row r="210" spans="4:4">
      <c r="D210" s="32"/>
    </row>
    <row r="211" spans="4:4">
      <c r="D211" s="32"/>
    </row>
    <row r="212" spans="4:4">
      <c r="D212" s="32"/>
    </row>
    <row r="213" spans="4:4">
      <c r="D213" s="32"/>
    </row>
    <row r="214" spans="4:4">
      <c r="D214" s="32"/>
    </row>
    <row r="215" spans="4:4">
      <c r="D215" s="32"/>
    </row>
    <row r="216" spans="4:4">
      <c r="D216" s="32"/>
    </row>
    <row r="217" spans="4:4">
      <c r="D217" s="32"/>
    </row>
    <row r="218" spans="4:4">
      <c r="D218" s="32"/>
    </row>
    <row r="219" spans="4:4">
      <c r="D219" s="32"/>
    </row>
    <row r="220" spans="4:4">
      <c r="D220" s="32"/>
    </row>
    <row r="221" spans="4:4">
      <c r="D221" s="32"/>
    </row>
    <row r="222" spans="4:4">
      <c r="D222" s="32"/>
    </row>
    <row r="223" spans="4:4">
      <c r="D223" s="32"/>
    </row>
    <row r="224" spans="4:4">
      <c r="D224" s="32"/>
    </row>
    <row r="225" spans="4:4">
      <c r="D225" s="32"/>
    </row>
    <row r="226" spans="4:4">
      <c r="D226" s="32"/>
    </row>
    <row r="227" spans="4:4">
      <c r="D227" s="32"/>
    </row>
    <row r="228" spans="4:4">
      <c r="D228" s="32"/>
    </row>
    <row r="229" spans="4:4">
      <c r="D229" s="32"/>
    </row>
    <row r="230" spans="4:4">
      <c r="D230" s="32"/>
    </row>
    <row r="231" spans="4:4">
      <c r="D231" s="32"/>
    </row>
    <row r="232" spans="4:4">
      <c r="D232" s="32"/>
    </row>
    <row r="233" spans="4:4">
      <c r="D233" s="32"/>
    </row>
    <row r="234" spans="4:4">
      <c r="D234" s="32"/>
    </row>
    <row r="235" spans="4:4">
      <c r="D235" s="32"/>
    </row>
    <row r="236" spans="4:4">
      <c r="D236" s="32"/>
    </row>
    <row r="237" spans="4:4">
      <c r="D237" s="32"/>
    </row>
    <row r="238" spans="4:4">
      <c r="D238" s="32"/>
    </row>
    <row r="239" spans="4:4">
      <c r="D239" s="32"/>
    </row>
    <row r="240" spans="4:4">
      <c r="D240" s="32"/>
    </row>
    <row r="241" spans="4:4">
      <c r="D241" s="32"/>
    </row>
    <row r="242" spans="4:4">
      <c r="D242" s="32"/>
    </row>
    <row r="243" spans="4:4">
      <c r="D243" s="32"/>
    </row>
    <row r="244" spans="4:4">
      <c r="D244" s="32"/>
    </row>
    <row r="245" spans="4:4">
      <c r="D245" s="32"/>
    </row>
    <row r="246" spans="4:4">
      <c r="D246" s="32"/>
    </row>
    <row r="247" spans="4:4">
      <c r="D247" s="32"/>
    </row>
    <row r="248" spans="4:4">
      <c r="D248" s="32"/>
    </row>
    <row r="249" spans="4:4">
      <c r="D249" s="32"/>
    </row>
    <row r="250" spans="4:4">
      <c r="D250" s="32"/>
    </row>
    <row r="251" spans="4:4">
      <c r="D251" s="32"/>
    </row>
    <row r="252" spans="4:4">
      <c r="D252" s="32"/>
    </row>
    <row r="253" spans="4:4">
      <c r="D253" s="32"/>
    </row>
    <row r="254" spans="4:4">
      <c r="D254" s="32"/>
    </row>
    <row r="255" spans="4:4">
      <c r="D255" s="32"/>
    </row>
    <row r="256" spans="4:4">
      <c r="D256" s="32"/>
    </row>
    <row r="257" spans="4:4">
      <c r="D257" s="32"/>
    </row>
    <row r="258" spans="4:4">
      <c r="D258" s="32"/>
    </row>
    <row r="259" spans="4:4">
      <c r="D259" s="32"/>
    </row>
    <row r="260" spans="4:4">
      <c r="D260" s="32"/>
    </row>
    <row r="261" spans="4:4">
      <c r="D261" s="32"/>
    </row>
    <row r="262" spans="4:4">
      <c r="D262" s="32"/>
    </row>
    <row r="263" spans="4:4">
      <c r="D263" s="32"/>
    </row>
    <row r="264" spans="4:4">
      <c r="D264" s="32"/>
    </row>
    <row r="265" spans="4:4">
      <c r="D265" s="32"/>
    </row>
    <row r="266" spans="4:4">
      <c r="D266" s="32"/>
    </row>
    <row r="267" spans="4:4">
      <c r="D267" s="32"/>
    </row>
    <row r="268" spans="4:4">
      <c r="D268" s="32"/>
    </row>
    <row r="269" spans="4:4">
      <c r="D269" s="32"/>
    </row>
    <row r="270" spans="4:4">
      <c r="D270" s="32"/>
    </row>
    <row r="271" spans="4:4">
      <c r="D271" s="32"/>
    </row>
    <row r="272" spans="4:4">
      <c r="D272" s="32"/>
    </row>
    <row r="273" spans="4:4">
      <c r="D273" s="32"/>
    </row>
    <row r="274" spans="4:4">
      <c r="D274" s="32"/>
    </row>
    <row r="275" spans="4:4">
      <c r="D275" s="32"/>
    </row>
    <row r="276" spans="4:4">
      <c r="D276" s="32"/>
    </row>
    <row r="277" spans="4:4">
      <c r="D277" s="32"/>
    </row>
    <row r="278" spans="4:4">
      <c r="D278" s="32"/>
    </row>
    <row r="279" spans="4:4">
      <c r="D279" s="32"/>
    </row>
    <row r="280" spans="4:4">
      <c r="D280" s="32"/>
    </row>
    <row r="281" spans="4:4">
      <c r="D281" s="32"/>
    </row>
    <row r="282" spans="4:4">
      <c r="D282" s="32"/>
    </row>
    <row r="283" spans="4:4">
      <c r="D283" s="32"/>
    </row>
    <row r="284" spans="4:4">
      <c r="D284" s="32"/>
    </row>
    <row r="285" spans="4:4">
      <c r="D285" s="32"/>
    </row>
    <row r="286" spans="4:4">
      <c r="D286" s="32"/>
    </row>
    <row r="287" spans="4:4">
      <c r="D287" s="32"/>
    </row>
    <row r="288" spans="4:4">
      <c r="D288" s="32"/>
    </row>
    <row r="289" spans="4:4">
      <c r="D289" s="32"/>
    </row>
    <row r="290" spans="4:4">
      <c r="D290" s="32"/>
    </row>
    <row r="291" spans="4:4">
      <c r="D291" s="32"/>
    </row>
    <row r="292" spans="4:4">
      <c r="D292" s="32"/>
    </row>
    <row r="293" spans="4:4">
      <c r="D293" s="32"/>
    </row>
    <row r="294" spans="4:4">
      <c r="D294" s="32"/>
    </row>
    <row r="295" spans="4:4">
      <c r="D295" s="32"/>
    </row>
    <row r="296" spans="4:4">
      <c r="D296" s="32"/>
    </row>
    <row r="297" spans="4:4">
      <c r="D297" s="32"/>
    </row>
    <row r="298" spans="4:4">
      <c r="D298" s="32"/>
    </row>
    <row r="299" spans="4:4">
      <c r="D299" s="32"/>
    </row>
    <row r="300" spans="4:4">
      <c r="D300" s="32"/>
    </row>
    <row r="301" spans="4:4">
      <c r="D301" s="32"/>
    </row>
    <row r="302" spans="4:4">
      <c r="D302" s="32"/>
    </row>
    <row r="303" spans="4:4">
      <c r="D303" s="32"/>
    </row>
    <row r="304" spans="4:4">
      <c r="D304" s="32"/>
    </row>
    <row r="305" spans="4:4">
      <c r="D305" s="32"/>
    </row>
    <row r="306" spans="4:4">
      <c r="D306" s="32"/>
    </row>
    <row r="307" spans="4:4">
      <c r="D307" s="32"/>
    </row>
    <row r="308" spans="4:4">
      <c r="D308" s="32"/>
    </row>
    <row r="309" spans="4:4">
      <c r="D309" s="32"/>
    </row>
    <row r="310" spans="4:4">
      <c r="D310" s="32"/>
    </row>
    <row r="311" spans="4:4">
      <c r="D311" s="32"/>
    </row>
    <row r="312" spans="4:4">
      <c r="D312" s="32"/>
    </row>
    <row r="313" spans="4:4">
      <c r="D313" s="32"/>
    </row>
    <row r="314" spans="4:4">
      <c r="D314" s="32"/>
    </row>
    <row r="315" spans="4:4">
      <c r="D315" s="32"/>
    </row>
    <row r="316" spans="4:4">
      <c r="D316" s="32"/>
    </row>
    <row r="317" spans="4:4">
      <c r="D317" s="32"/>
    </row>
    <row r="318" spans="4:4">
      <c r="D318" s="32"/>
    </row>
    <row r="319" spans="4:4">
      <c r="D319" s="32"/>
    </row>
    <row r="320" spans="4:4">
      <c r="D320" s="32"/>
    </row>
    <row r="321" spans="4:4">
      <c r="D321" s="32"/>
    </row>
    <row r="322" spans="4:4">
      <c r="D322" s="32"/>
    </row>
    <row r="323" spans="4:4">
      <c r="D323" s="32"/>
    </row>
    <row r="324" spans="4:4">
      <c r="D324" s="32"/>
    </row>
    <row r="325" spans="4:4">
      <c r="D325" s="32"/>
    </row>
    <row r="326" spans="4:4">
      <c r="D326" s="32"/>
    </row>
    <row r="327" spans="4:4">
      <c r="D327" s="32"/>
    </row>
    <row r="328" spans="4:4">
      <c r="D328" s="32"/>
    </row>
    <row r="329" spans="4:4">
      <c r="D329" s="32"/>
    </row>
    <row r="330" spans="4:4">
      <c r="D330" s="32"/>
    </row>
    <row r="331" spans="4:4">
      <c r="D331" s="32"/>
    </row>
    <row r="332" spans="4:4">
      <c r="D332" s="32"/>
    </row>
    <row r="333" spans="4:4">
      <c r="D333" s="32"/>
    </row>
    <row r="334" spans="4:4">
      <c r="D334" s="32"/>
    </row>
    <row r="335" spans="4:4">
      <c r="D335" s="32"/>
    </row>
    <row r="336" spans="4:4">
      <c r="D336" s="32"/>
    </row>
    <row r="337" spans="4:4">
      <c r="D337" s="32"/>
    </row>
    <row r="338" spans="4:4">
      <c r="D338" s="32"/>
    </row>
    <row r="339" spans="4:4">
      <c r="D339" s="32"/>
    </row>
    <row r="340" spans="4:4">
      <c r="D340" s="32"/>
    </row>
    <row r="341" spans="4:4">
      <c r="D341" s="32"/>
    </row>
    <row r="342" spans="4:4">
      <c r="D342" s="32"/>
    </row>
    <row r="343" spans="4:4">
      <c r="D343" s="32"/>
    </row>
    <row r="344" spans="4:4">
      <c r="D344" s="32"/>
    </row>
    <row r="345" spans="4:4">
      <c r="D345" s="32"/>
    </row>
    <row r="346" spans="4:4">
      <c r="D346" s="32"/>
    </row>
    <row r="347" spans="4:4">
      <c r="D347" s="32"/>
    </row>
    <row r="348" spans="4:4">
      <c r="D348" s="32"/>
    </row>
    <row r="349" spans="4:4">
      <c r="D349" s="32"/>
    </row>
    <row r="350" spans="4:4">
      <c r="D350" s="32"/>
    </row>
    <row r="351" spans="4:4">
      <c r="D351" s="32"/>
    </row>
    <row r="352" spans="4:4">
      <c r="D352" s="32"/>
    </row>
    <row r="353" spans="4:4">
      <c r="D353" s="32"/>
    </row>
    <row r="354" spans="4:4">
      <c r="D354" s="32"/>
    </row>
    <row r="355" spans="4:4">
      <c r="D355" s="32"/>
    </row>
    <row r="356" spans="4:4">
      <c r="D356" s="32"/>
    </row>
    <row r="357" spans="4:4">
      <c r="D357" s="32"/>
    </row>
    <row r="358" spans="4:4">
      <c r="D358" s="32"/>
    </row>
    <row r="359" spans="4:4">
      <c r="D359" s="32"/>
    </row>
    <row r="360" spans="4:4">
      <c r="D360" s="32"/>
    </row>
    <row r="361" spans="4:4">
      <c r="D361" s="32"/>
    </row>
    <row r="362" spans="4:4">
      <c r="D362" s="32"/>
    </row>
    <row r="363" spans="4:4">
      <c r="D363" s="32"/>
    </row>
    <row r="364" spans="4:4">
      <c r="D364" s="32"/>
    </row>
    <row r="365" spans="4:4">
      <c r="D365" s="32"/>
    </row>
    <row r="366" spans="4:4">
      <c r="D366" s="32"/>
    </row>
    <row r="367" spans="4:4">
      <c r="D367" s="32"/>
    </row>
    <row r="368" spans="4:4">
      <c r="D368" s="32"/>
    </row>
    <row r="369" spans="4:4">
      <c r="D369" s="32"/>
    </row>
    <row r="370" spans="4:4">
      <c r="D370" s="32"/>
    </row>
    <row r="371" spans="4:4">
      <c r="D371" s="32"/>
    </row>
    <row r="372" spans="4:4">
      <c r="D372" s="32"/>
    </row>
    <row r="373" spans="4:4">
      <c r="D373" s="32"/>
    </row>
    <row r="374" spans="4:4">
      <c r="D374" s="32"/>
    </row>
    <row r="375" spans="4:4">
      <c r="D375" s="32"/>
    </row>
    <row r="376" spans="4:4">
      <c r="D376" s="32"/>
    </row>
    <row r="377" spans="4:4">
      <c r="D377" s="32"/>
    </row>
    <row r="378" spans="4:4">
      <c r="D378" s="32"/>
    </row>
    <row r="379" spans="4:4">
      <c r="D379" s="32"/>
    </row>
    <row r="380" spans="4:4">
      <c r="D380" s="32"/>
    </row>
    <row r="381" spans="4:4">
      <c r="D381" s="32"/>
    </row>
    <row r="382" spans="4:4">
      <c r="D382" s="32"/>
    </row>
    <row r="383" spans="4:4">
      <c r="D383" s="32"/>
    </row>
    <row r="384" spans="4:4">
      <c r="D384" s="32"/>
    </row>
    <row r="385" spans="4:4">
      <c r="D385" s="32"/>
    </row>
    <row r="386" spans="4:4">
      <c r="D386" s="32"/>
    </row>
    <row r="387" spans="4:4">
      <c r="D387" s="32"/>
    </row>
    <row r="388" spans="4:4">
      <c r="D388" s="32"/>
    </row>
    <row r="389" spans="4:4">
      <c r="D389" s="32"/>
    </row>
    <row r="390" spans="4:4">
      <c r="D390" s="32"/>
    </row>
    <row r="391" spans="4:4">
      <c r="D391" s="32"/>
    </row>
    <row r="392" spans="4:4">
      <c r="D392" s="32"/>
    </row>
    <row r="393" spans="4:4">
      <c r="D393" s="32"/>
    </row>
    <row r="394" spans="4:4">
      <c r="D394" s="32"/>
    </row>
    <row r="395" spans="4:4">
      <c r="D395" s="32"/>
    </row>
    <row r="396" spans="4:4">
      <c r="D396" s="32"/>
    </row>
    <row r="397" spans="4:4">
      <c r="D397" s="32"/>
    </row>
    <row r="398" spans="4:4">
      <c r="D398" s="32"/>
    </row>
    <row r="399" spans="4:4">
      <c r="D399" s="32"/>
    </row>
    <row r="400" spans="4:4">
      <c r="D400" s="32"/>
    </row>
    <row r="401" spans="4:4">
      <c r="D401" s="32"/>
    </row>
    <row r="402" spans="4:4">
      <c r="D402" s="32"/>
    </row>
    <row r="403" spans="4:4">
      <c r="D403" s="32"/>
    </row>
    <row r="404" spans="4:4">
      <c r="D404" s="32"/>
    </row>
    <row r="405" spans="4:4">
      <c r="D405" s="32"/>
    </row>
    <row r="406" spans="4:4">
      <c r="D406" s="32"/>
    </row>
    <row r="407" spans="4:4">
      <c r="D407" s="32"/>
    </row>
    <row r="408" spans="4:4">
      <c r="D408" s="32"/>
    </row>
    <row r="409" spans="4:4">
      <c r="D409" s="32"/>
    </row>
    <row r="410" spans="4:4">
      <c r="D410" s="32"/>
    </row>
    <row r="411" spans="4:4">
      <c r="D411" s="32"/>
    </row>
    <row r="412" spans="4:4">
      <c r="D412" s="32"/>
    </row>
    <row r="413" spans="4:4">
      <c r="D413" s="32"/>
    </row>
    <row r="414" spans="4:4">
      <c r="D414" s="32"/>
    </row>
    <row r="415" spans="4:4">
      <c r="D415" s="32"/>
    </row>
    <row r="416" spans="4:4">
      <c r="D416" s="32"/>
    </row>
    <row r="417" spans="4:4">
      <c r="D417" s="32"/>
    </row>
    <row r="418" spans="4:4">
      <c r="D418" s="32"/>
    </row>
    <row r="419" spans="4:4">
      <c r="D419" s="32"/>
    </row>
    <row r="420" spans="4:4">
      <c r="D420" s="32"/>
    </row>
    <row r="421" spans="4:4">
      <c r="D421" s="32"/>
    </row>
    <row r="422" spans="4:4">
      <c r="D422" s="32"/>
    </row>
    <row r="423" spans="4:4">
      <c r="D423" s="32"/>
    </row>
    <row r="424" spans="4:4">
      <c r="D424" s="32"/>
    </row>
    <row r="425" spans="4:4">
      <c r="D425" s="32"/>
    </row>
    <row r="426" spans="4:4">
      <c r="D426" s="32"/>
    </row>
    <row r="427" spans="4:4">
      <c r="D427" s="32"/>
    </row>
    <row r="428" spans="4:4">
      <c r="D428" s="32"/>
    </row>
    <row r="429" spans="4:4">
      <c r="D429" s="32"/>
    </row>
    <row r="430" spans="4:4">
      <c r="D430" s="32"/>
    </row>
    <row r="431" spans="4:4">
      <c r="D431" s="32"/>
    </row>
    <row r="432" spans="4:4">
      <c r="D432" s="32"/>
    </row>
    <row r="433" spans="4:4">
      <c r="D433" s="32"/>
    </row>
    <row r="434" spans="4:4">
      <c r="D434" s="32"/>
    </row>
    <row r="435" spans="4:4">
      <c r="D435" s="32"/>
    </row>
    <row r="436" spans="4:4">
      <c r="D436" s="32"/>
    </row>
    <row r="437" spans="4:4">
      <c r="D437" s="32"/>
    </row>
    <row r="438" spans="4:4">
      <c r="D438" s="32"/>
    </row>
    <row r="439" spans="4:4">
      <c r="D439" s="32"/>
    </row>
    <row r="440" spans="4:4">
      <c r="D440" s="32"/>
    </row>
    <row r="441" spans="4:4">
      <c r="D441" s="32"/>
    </row>
    <row r="442" spans="4:4">
      <c r="D442" s="32"/>
    </row>
    <row r="443" spans="4:4">
      <c r="D443" s="32"/>
    </row>
    <row r="444" spans="4:4">
      <c r="D444" s="32"/>
    </row>
    <row r="445" spans="4:4">
      <c r="D445" s="32"/>
    </row>
    <row r="446" spans="4:4">
      <c r="D446" s="32"/>
    </row>
    <row r="447" spans="4:4">
      <c r="D447" s="32"/>
    </row>
    <row r="448" spans="4:4">
      <c r="D448" s="32"/>
    </row>
    <row r="449" spans="4:4">
      <c r="D449" s="32"/>
    </row>
    <row r="450" spans="4:4">
      <c r="D450" s="32"/>
    </row>
    <row r="451" spans="4:4">
      <c r="D451" s="32"/>
    </row>
    <row r="452" spans="4:4">
      <c r="D452" s="32"/>
    </row>
    <row r="453" spans="4:4">
      <c r="D453" s="32"/>
    </row>
    <row r="454" spans="4:4">
      <c r="D454" s="32"/>
    </row>
    <row r="455" spans="4:4">
      <c r="D455" s="32"/>
    </row>
    <row r="456" spans="4:4">
      <c r="D456" s="32"/>
    </row>
    <row r="457" spans="4:4">
      <c r="D457" s="32"/>
    </row>
    <row r="458" spans="4:4">
      <c r="D458" s="32"/>
    </row>
    <row r="459" spans="4:4">
      <c r="D459" s="32"/>
    </row>
    <row r="460" spans="4:4">
      <c r="D460" s="32"/>
    </row>
    <row r="461" spans="4:4">
      <c r="D461" s="32"/>
    </row>
    <row r="462" spans="4:4">
      <c r="D462" s="32"/>
    </row>
    <row r="463" spans="4:4">
      <c r="D463" s="32"/>
    </row>
    <row r="464" spans="4:4">
      <c r="D464" s="32"/>
    </row>
    <row r="465" spans="4:4">
      <c r="D465" s="32"/>
    </row>
    <row r="466" spans="4:4">
      <c r="D466" s="32"/>
    </row>
    <row r="467" spans="4:4">
      <c r="D467" s="32"/>
    </row>
  </sheetData>
  <mergeCells count="2">
    <mergeCell ref="D10:E10"/>
    <mergeCell ref="AI10:AV10"/>
  </mergeCells>
  <pageMargins left="0.5" right="0.5" top="0.5" bottom="0.5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</xdr:col>
                <xdr:colOff>123825</xdr:colOff>
                <xdr:row>0</xdr:row>
                <xdr:rowOff>161925</xdr:rowOff>
              </from>
              <to>
                <xdr:col>3</xdr:col>
                <xdr:colOff>1038225</xdr:colOff>
                <xdr:row>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</vt:lpstr>
      <vt:lpstr>BACKSOLVE_MACRO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King, Stephen (STFC,RAL,ISIS)</dc:creator>
  <cp:lastModifiedBy>King, Stephen (STFC,RAL,ISIS)</cp:lastModifiedBy>
  <dcterms:created xsi:type="dcterms:W3CDTF">2014-03-13T14:31:00Z</dcterms:created>
  <dcterms:modified xsi:type="dcterms:W3CDTF">2016-06-07T12:59:21Z</dcterms:modified>
</cp:coreProperties>
</file>